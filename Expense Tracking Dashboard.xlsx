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92d6a2f741366cc0/Desktop/"/>
    </mc:Choice>
  </mc:AlternateContent>
  <xr:revisionPtr revIDLastSave="825" documentId="8_{3D9BD066-C727-41AB-AFEC-07F53D2FF713}" xr6:coauthVersionLast="47" xr6:coauthVersionMax="47" xr10:uidLastSave="{25BC25F4-806A-40B5-B4B2-1053C4DB7FBA}"/>
  <bookViews>
    <workbookView xWindow="-108" yWindow="-108" windowWidth="23256" windowHeight="12456" tabRatio="900" xr2:uid="{E512231A-A2E6-4FE2-904F-497F2FBE1254}"/>
  </bookViews>
  <sheets>
    <sheet name="Expense Dashboard" sheetId="2" r:id="rId1"/>
    <sheet name="month_Expense vs budget" sheetId="4" r:id="rId2"/>
    <sheet name="category vs expense" sheetId="5" r:id="rId3"/>
    <sheet name="Dept_exp vs bud" sheetId="6" r:id="rId4"/>
    <sheet name="payment method" sheetId="7" r:id="rId5"/>
    <sheet name="Status Ratio" sheetId="8" r:id="rId6"/>
    <sheet name="Vendor_Exp vs Variance" sheetId="9" r:id="rId7"/>
    <sheet name="Expense Data" sheetId="1" r:id="rId8"/>
  </sheets>
  <definedNames>
    <definedName name="_xlnm._FilterDatabase" localSheetId="7" hidden="1">'Expense Data'!$A$1:$K$31</definedName>
    <definedName name="Slicer_Category">#N/A</definedName>
    <definedName name="Slicer_Department">#N/A</definedName>
    <definedName name="Slicer_Month">#N/A</definedName>
    <definedName name="Slicer_Vendo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 i="1" l="1"/>
  <c r="I33" i="1"/>
  <c r="H33" i="1"/>
</calcChain>
</file>

<file path=xl/sharedStrings.xml><?xml version="1.0" encoding="utf-8"?>
<sst xmlns="http://schemas.openxmlformats.org/spreadsheetml/2006/main" count="276" uniqueCount="102">
  <si>
    <t>Date</t>
  </si>
  <si>
    <t>Month</t>
  </si>
  <si>
    <t>Department</t>
  </si>
  <si>
    <t>Category</t>
  </si>
  <si>
    <t>Expense Description</t>
  </si>
  <si>
    <t>Payment Method</t>
  </si>
  <si>
    <t>Vendor</t>
  </si>
  <si>
    <t>Expense (₹)</t>
  </si>
  <si>
    <t>Budget (₹)</t>
  </si>
  <si>
    <t>Variance (₹)</t>
  </si>
  <si>
    <t>Status</t>
  </si>
  <si>
    <t>January</t>
  </si>
  <si>
    <t>HR</t>
  </si>
  <si>
    <t>Training</t>
  </si>
  <si>
    <t>Employee Workshop</t>
  </si>
  <si>
    <t>UPI</t>
  </si>
  <si>
    <t>SkillUp</t>
  </si>
  <si>
    <t>Within Budget</t>
  </si>
  <si>
    <t>IT</t>
  </si>
  <si>
    <t>Software</t>
  </si>
  <si>
    <t>Antivirus License</t>
  </si>
  <si>
    <t>Card</t>
  </si>
  <si>
    <t>Norton</t>
  </si>
  <si>
    <t>Over Budget</t>
  </si>
  <si>
    <t>Marketing</t>
  </si>
  <si>
    <t>Advertising</t>
  </si>
  <si>
    <t>Google Ads</t>
  </si>
  <si>
    <t>Online</t>
  </si>
  <si>
    <t>Google</t>
  </si>
  <si>
    <t>Finance</t>
  </si>
  <si>
    <t>Utilities</t>
  </si>
  <si>
    <t>Office Electricity Bill</t>
  </si>
  <si>
    <t>Bank Transfer</t>
  </si>
  <si>
    <t>Tata Power</t>
  </si>
  <si>
    <t>Operations</t>
  </si>
  <si>
    <t>Travel</t>
  </si>
  <si>
    <t>Delivery Vehicle Fuel</t>
  </si>
  <si>
    <t>HP Petrol</t>
  </si>
  <si>
    <t>Hardware</t>
  </si>
  <si>
    <t>Printer Purchase</t>
  </si>
  <si>
    <t>Dell</t>
  </si>
  <si>
    <t>Salaries</t>
  </si>
  <si>
    <t>Contract Staff Payment</t>
  </si>
  <si>
    <t>Local Vendor</t>
  </si>
  <si>
    <t>Events</t>
  </si>
  <si>
    <t>Product Launch</t>
  </si>
  <si>
    <t>EventPro</t>
  </si>
  <si>
    <t>Stationery</t>
  </si>
  <si>
    <t>Account Books</t>
  </si>
  <si>
    <t>Cash</t>
  </si>
  <si>
    <t>OfficeMart</t>
  </si>
  <si>
    <t>Maintenance</t>
  </si>
  <si>
    <t>Equipment Repair</t>
  </si>
  <si>
    <t>FixIt</t>
  </si>
  <si>
    <t>February</t>
  </si>
  <si>
    <t>Recruitment</t>
  </si>
  <si>
    <t>Job Portal Subscription</t>
  </si>
  <si>
    <t>Naukri</t>
  </si>
  <si>
    <t>Cloud Storage</t>
  </si>
  <si>
    <t>Google Cloud</t>
  </si>
  <si>
    <t>Facebook Ads</t>
  </si>
  <si>
    <t>Meta</t>
  </si>
  <si>
    <t>Water Bill</t>
  </si>
  <si>
    <t>BMC</t>
  </si>
  <si>
    <t>Transport for Delivery</t>
  </si>
  <si>
    <t>Ola</t>
  </si>
  <si>
    <t>Laptop Purchase</t>
  </si>
  <si>
    <t>HP</t>
  </si>
  <si>
    <t>Leadership Session</t>
  </si>
  <si>
    <t>Coursera</t>
  </si>
  <si>
    <t>Trade Show Stall</t>
  </si>
  <si>
    <t>ExpoMart</t>
  </si>
  <si>
    <t>March</t>
  </si>
  <si>
    <t>Files &amp; Folders</t>
  </si>
  <si>
    <t>CRM Subscription</t>
  </si>
  <si>
    <t>Zoho</t>
  </si>
  <si>
    <t>YouTube Ads</t>
  </si>
  <si>
    <t>Intern Stipends</t>
  </si>
  <si>
    <t>Machine Servicing</t>
  </si>
  <si>
    <t>Internet Bill</t>
  </si>
  <si>
    <t>Airtel</t>
  </si>
  <si>
    <t>Printing</t>
  </si>
  <si>
    <t>Banners &amp; Flyers</t>
  </si>
  <si>
    <t>PrintWorld</t>
  </si>
  <si>
    <t>Router Replacement</t>
  </si>
  <si>
    <t>Campus Drive Expenses</t>
  </si>
  <si>
    <t>CollegeFair</t>
  </si>
  <si>
    <t>Intercity Logistics</t>
  </si>
  <si>
    <t>DTDC</t>
  </si>
  <si>
    <t>Accounting Tool</t>
  </si>
  <si>
    <t>Tally</t>
  </si>
  <si>
    <t>Social Media Influencers</t>
  </si>
  <si>
    <t>InstaPromote</t>
  </si>
  <si>
    <t>Dimensions are: Month, Dept, Category, Payment Method, Vendor, Status</t>
  </si>
  <si>
    <t>Metrics are: Expense, Budget , Variance</t>
  </si>
  <si>
    <t>Row Labels</t>
  </si>
  <si>
    <t>Grand Total</t>
  </si>
  <si>
    <t>Sum of Expense (₹)</t>
  </si>
  <si>
    <t>EXPENSE TRACKING DASHBOARD</t>
  </si>
  <si>
    <t>Total</t>
  </si>
  <si>
    <t>Sum of Budget (₹)</t>
  </si>
  <si>
    <t>Sum of 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</si>
</sst>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0"/>
      <name val="Calibri"/>
      <family val="2"/>
      <scheme val="minor"/>
    </font>
    <font>
      <sz val="2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0" tint="-4.9989318521683403E-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vertical="center"/>
    </xf>
    <xf numFmtId="14" fontId="0" fillId="0" borderId="0" xfId="0" applyNumberFormat="1" applyAlignment="1">
      <alignment vertical="center"/>
    </xf>
    <xf numFmtId="0" fontId="1" fillId="2" borderId="0" xfId="0" applyFont="1" applyFill="1"/>
    <xf numFmtId="0" fontId="0" fillId="0" borderId="0" xfId="0" pivotButton="1"/>
    <xf numFmtId="0" fontId="0" fillId="0" borderId="0" xfId="0" applyAlignment="1">
      <alignment horizontal="left"/>
    </xf>
    <xf numFmtId="0" fontId="0" fillId="4" borderId="0" xfId="0" applyFill="1"/>
    <xf numFmtId="0" fontId="3" fillId="0" borderId="0" xfId="0" applyFont="1"/>
    <xf numFmtId="0" fontId="1" fillId="0" borderId="0" xfId="0" applyFont="1"/>
    <xf numFmtId="10" fontId="0" fillId="0" borderId="0" xfId="0" applyNumberFormat="1"/>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Project.xlsx]month_Expense vs budget!PivotTable2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Expense vs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'month_Expense vs budget'!$B$3</c:f>
              <c:strCache>
                <c:ptCount val="1"/>
                <c:pt idx="0">
                  <c:v>Sum of Expense (₹)</c:v>
                </c:pt>
              </c:strCache>
            </c:strRef>
          </c:tx>
          <c:spPr>
            <a:solidFill>
              <a:schemeClr val="accent1"/>
            </a:solidFill>
            <a:ln>
              <a:noFill/>
            </a:ln>
            <a:effectLst/>
          </c:spPr>
          <c:invertIfNegative val="0"/>
          <c:cat>
            <c:strRef>
              <c:f>'month_Expense vs budget'!$A$4:$A$5</c:f>
              <c:strCache>
                <c:ptCount val="1"/>
                <c:pt idx="0">
                  <c:v>January</c:v>
                </c:pt>
              </c:strCache>
            </c:strRef>
          </c:cat>
          <c:val>
            <c:numRef>
              <c:f>'month_Expense vs budget'!$B$4:$B$5</c:f>
              <c:numCache>
                <c:formatCode>General</c:formatCode>
                <c:ptCount val="1"/>
                <c:pt idx="0">
                  <c:v>165500</c:v>
                </c:pt>
              </c:numCache>
            </c:numRef>
          </c:val>
          <c:extLst>
            <c:ext xmlns:c16="http://schemas.microsoft.com/office/drawing/2014/chart" uri="{C3380CC4-5D6E-409C-BE32-E72D297353CC}">
              <c16:uniqueId val="{00000000-617F-411B-AC5D-B954CB53BEBA}"/>
            </c:ext>
          </c:extLst>
        </c:ser>
        <c:dLbls>
          <c:showLegendKey val="0"/>
          <c:showVal val="0"/>
          <c:showCatName val="0"/>
          <c:showSerName val="0"/>
          <c:showPercent val="0"/>
          <c:showBubbleSize val="0"/>
        </c:dLbls>
        <c:gapWidth val="219"/>
        <c:overlap val="-27"/>
        <c:axId val="2001188304"/>
        <c:axId val="2001195504"/>
      </c:barChart>
      <c:lineChart>
        <c:grouping val="standard"/>
        <c:varyColors val="0"/>
        <c:ser>
          <c:idx val="1"/>
          <c:order val="1"/>
          <c:tx>
            <c:strRef>
              <c:f>'month_Expense vs budget'!$C$3</c:f>
              <c:strCache>
                <c:ptCount val="1"/>
                <c:pt idx="0">
                  <c:v>Sum of Budget (₹)</c:v>
                </c:pt>
              </c:strCache>
            </c:strRef>
          </c:tx>
          <c:spPr>
            <a:ln w="28575" cap="rnd">
              <a:solidFill>
                <a:schemeClr val="accent2"/>
              </a:solidFill>
              <a:round/>
            </a:ln>
            <a:effectLst/>
          </c:spPr>
          <c:marker>
            <c:symbol val="none"/>
          </c:marker>
          <c:cat>
            <c:strRef>
              <c:f>'month_Expense vs budget'!$A$4:$A$5</c:f>
              <c:strCache>
                <c:ptCount val="1"/>
                <c:pt idx="0">
                  <c:v>January</c:v>
                </c:pt>
              </c:strCache>
            </c:strRef>
          </c:cat>
          <c:val>
            <c:numRef>
              <c:f>'month_Expense vs budget'!$C$4:$C$5</c:f>
              <c:numCache>
                <c:formatCode>General</c:formatCode>
                <c:ptCount val="1"/>
                <c:pt idx="0">
                  <c:v>169500</c:v>
                </c:pt>
              </c:numCache>
            </c:numRef>
          </c:val>
          <c:smooth val="0"/>
          <c:extLst>
            <c:ext xmlns:c16="http://schemas.microsoft.com/office/drawing/2014/chart" uri="{C3380CC4-5D6E-409C-BE32-E72D297353CC}">
              <c16:uniqueId val="{00000001-617F-411B-AC5D-B954CB53BEBA}"/>
            </c:ext>
          </c:extLst>
        </c:ser>
        <c:dLbls>
          <c:showLegendKey val="0"/>
          <c:showVal val="0"/>
          <c:showCatName val="0"/>
          <c:showSerName val="0"/>
          <c:showPercent val="0"/>
          <c:showBubbleSize val="0"/>
        </c:dLbls>
        <c:marker val="1"/>
        <c:smooth val="0"/>
        <c:axId val="2001208464"/>
        <c:axId val="2001207504"/>
      </c:lineChart>
      <c:catAx>
        <c:axId val="20011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95504"/>
        <c:crosses val="autoZero"/>
        <c:auto val="1"/>
        <c:lblAlgn val="ctr"/>
        <c:lblOffset val="100"/>
        <c:noMultiLvlLbl val="0"/>
      </c:catAx>
      <c:valAx>
        <c:axId val="200119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88304"/>
        <c:crosses val="autoZero"/>
        <c:crossBetween val="between"/>
      </c:valAx>
      <c:valAx>
        <c:axId val="20012075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08464"/>
        <c:crosses val="max"/>
        <c:crossBetween val="between"/>
      </c:valAx>
      <c:catAx>
        <c:axId val="2001208464"/>
        <c:scaling>
          <c:orientation val="minMax"/>
        </c:scaling>
        <c:delete val="1"/>
        <c:axPos val="b"/>
        <c:numFmt formatCode="General" sourceLinked="1"/>
        <c:majorTickMark val="out"/>
        <c:minorTickMark val="none"/>
        <c:tickLblPos val="nextTo"/>
        <c:crossAx val="2001207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Project.xlsx]category vs expense!PivotTable3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vs expense'!$B$3</c:f>
              <c:strCache>
                <c:ptCount val="1"/>
                <c:pt idx="0">
                  <c:v>Total</c:v>
                </c:pt>
              </c:strCache>
            </c:strRef>
          </c:tx>
          <c:spPr>
            <a:solidFill>
              <a:schemeClr val="accent1"/>
            </a:solidFill>
            <a:ln>
              <a:noFill/>
            </a:ln>
            <a:effectLst/>
          </c:spPr>
          <c:invertIfNegative val="0"/>
          <c:cat>
            <c:strRef>
              <c:f>'category vs expense'!$A$4:$A$13</c:f>
              <c:strCache>
                <c:ptCount val="10"/>
                <c:pt idx="0">
                  <c:v>Advertising</c:v>
                </c:pt>
                <c:pt idx="1">
                  <c:v>Events</c:v>
                </c:pt>
                <c:pt idx="2">
                  <c:v>Hardware</c:v>
                </c:pt>
                <c:pt idx="3">
                  <c:v>Maintenance</c:v>
                </c:pt>
                <c:pt idx="4">
                  <c:v>Salaries</c:v>
                </c:pt>
                <c:pt idx="5">
                  <c:v>Software</c:v>
                </c:pt>
                <c:pt idx="6">
                  <c:v>Stationery</c:v>
                </c:pt>
                <c:pt idx="7">
                  <c:v>Training</c:v>
                </c:pt>
                <c:pt idx="8">
                  <c:v>Travel</c:v>
                </c:pt>
                <c:pt idx="9">
                  <c:v>Utilities</c:v>
                </c:pt>
              </c:strCache>
            </c:strRef>
          </c:cat>
          <c:val>
            <c:numRef>
              <c:f>'category vs expense'!$B$4:$B$13</c:f>
              <c:numCache>
                <c:formatCode>General</c:formatCode>
                <c:ptCount val="10"/>
                <c:pt idx="0">
                  <c:v>25000</c:v>
                </c:pt>
                <c:pt idx="1">
                  <c:v>40000</c:v>
                </c:pt>
                <c:pt idx="2">
                  <c:v>18000</c:v>
                </c:pt>
                <c:pt idx="3">
                  <c:v>7000</c:v>
                </c:pt>
                <c:pt idx="4">
                  <c:v>30000</c:v>
                </c:pt>
                <c:pt idx="5">
                  <c:v>7000</c:v>
                </c:pt>
                <c:pt idx="6">
                  <c:v>2500</c:v>
                </c:pt>
                <c:pt idx="7">
                  <c:v>15000</c:v>
                </c:pt>
                <c:pt idx="8">
                  <c:v>12000</c:v>
                </c:pt>
                <c:pt idx="9">
                  <c:v>9000</c:v>
                </c:pt>
              </c:numCache>
            </c:numRef>
          </c:val>
          <c:extLst>
            <c:ext xmlns:c16="http://schemas.microsoft.com/office/drawing/2014/chart" uri="{C3380CC4-5D6E-409C-BE32-E72D297353CC}">
              <c16:uniqueId val="{00000000-B9B9-4E2A-94CA-B9BBF9707CE1}"/>
            </c:ext>
          </c:extLst>
        </c:ser>
        <c:dLbls>
          <c:showLegendKey val="0"/>
          <c:showVal val="0"/>
          <c:showCatName val="0"/>
          <c:showSerName val="0"/>
          <c:showPercent val="0"/>
          <c:showBubbleSize val="0"/>
        </c:dLbls>
        <c:gapWidth val="182"/>
        <c:axId val="2001162864"/>
        <c:axId val="2001179664"/>
      </c:barChart>
      <c:catAx>
        <c:axId val="200116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79664"/>
        <c:crosses val="autoZero"/>
        <c:auto val="1"/>
        <c:lblAlgn val="ctr"/>
        <c:lblOffset val="100"/>
        <c:noMultiLvlLbl val="0"/>
      </c:catAx>
      <c:valAx>
        <c:axId val="2001179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6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Project.xlsx]Dept_exp vs bud!PivotTable4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a:t>
            </a:r>
            <a:r>
              <a:rPr lang="en-IN" baseline="0"/>
              <a:t> Expense vs Budget</a:t>
            </a:r>
          </a:p>
        </c:rich>
      </c:tx>
      <c:layout>
        <c:manualLayout>
          <c:xMode val="edge"/>
          <c:yMode val="edge"/>
          <c:x val="6.119444444444445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80246062992125999"/>
          <c:h val="0.74403579760863225"/>
        </c:manualLayout>
      </c:layout>
      <c:barChart>
        <c:barDir val="col"/>
        <c:grouping val="clustered"/>
        <c:varyColors val="0"/>
        <c:ser>
          <c:idx val="0"/>
          <c:order val="0"/>
          <c:tx>
            <c:strRef>
              <c:f>'Dept_exp vs bud'!$B$3</c:f>
              <c:strCache>
                <c:ptCount val="1"/>
                <c:pt idx="0">
                  <c:v>Sum of Expense (₹)</c:v>
                </c:pt>
              </c:strCache>
            </c:strRef>
          </c:tx>
          <c:spPr>
            <a:solidFill>
              <a:schemeClr val="accent1"/>
            </a:solidFill>
            <a:ln>
              <a:noFill/>
            </a:ln>
            <a:effectLst/>
          </c:spPr>
          <c:invertIfNegative val="0"/>
          <c:cat>
            <c:strRef>
              <c:f>'Dept_exp vs bud'!$A$4:$A$8</c:f>
              <c:strCache>
                <c:ptCount val="5"/>
                <c:pt idx="0">
                  <c:v>Finance</c:v>
                </c:pt>
                <c:pt idx="1">
                  <c:v>HR</c:v>
                </c:pt>
                <c:pt idx="2">
                  <c:v>IT</c:v>
                </c:pt>
                <c:pt idx="3">
                  <c:v>Marketing</c:v>
                </c:pt>
                <c:pt idx="4">
                  <c:v>Operations</c:v>
                </c:pt>
              </c:strCache>
            </c:strRef>
          </c:cat>
          <c:val>
            <c:numRef>
              <c:f>'Dept_exp vs bud'!$B$4:$B$8</c:f>
              <c:numCache>
                <c:formatCode>General</c:formatCode>
                <c:ptCount val="5"/>
                <c:pt idx="0">
                  <c:v>11500</c:v>
                </c:pt>
                <c:pt idx="1">
                  <c:v>45000</c:v>
                </c:pt>
                <c:pt idx="2">
                  <c:v>25000</c:v>
                </c:pt>
                <c:pt idx="3">
                  <c:v>65000</c:v>
                </c:pt>
                <c:pt idx="4">
                  <c:v>19000</c:v>
                </c:pt>
              </c:numCache>
            </c:numRef>
          </c:val>
          <c:extLst>
            <c:ext xmlns:c16="http://schemas.microsoft.com/office/drawing/2014/chart" uri="{C3380CC4-5D6E-409C-BE32-E72D297353CC}">
              <c16:uniqueId val="{00000000-D8EC-414C-B58F-212B6530EE2F}"/>
            </c:ext>
          </c:extLst>
        </c:ser>
        <c:dLbls>
          <c:showLegendKey val="0"/>
          <c:showVal val="0"/>
          <c:showCatName val="0"/>
          <c:showSerName val="0"/>
          <c:showPercent val="0"/>
          <c:showBubbleSize val="0"/>
        </c:dLbls>
        <c:gapWidth val="219"/>
        <c:overlap val="-27"/>
        <c:axId val="239773376"/>
        <c:axId val="239791616"/>
      </c:barChart>
      <c:lineChart>
        <c:grouping val="standard"/>
        <c:varyColors val="0"/>
        <c:ser>
          <c:idx val="1"/>
          <c:order val="1"/>
          <c:tx>
            <c:strRef>
              <c:f>'Dept_exp vs bud'!$C$3</c:f>
              <c:strCache>
                <c:ptCount val="1"/>
                <c:pt idx="0">
                  <c:v>Sum of Budget (₹)</c:v>
                </c:pt>
              </c:strCache>
            </c:strRef>
          </c:tx>
          <c:spPr>
            <a:ln w="28575" cap="rnd">
              <a:solidFill>
                <a:schemeClr val="accent2"/>
              </a:solidFill>
              <a:round/>
            </a:ln>
            <a:effectLst/>
          </c:spPr>
          <c:marker>
            <c:symbol val="none"/>
          </c:marker>
          <c:cat>
            <c:strRef>
              <c:f>'Dept_exp vs bud'!$A$4:$A$8</c:f>
              <c:strCache>
                <c:ptCount val="5"/>
                <c:pt idx="0">
                  <c:v>Finance</c:v>
                </c:pt>
                <c:pt idx="1">
                  <c:v>HR</c:v>
                </c:pt>
                <c:pt idx="2">
                  <c:v>IT</c:v>
                </c:pt>
                <c:pt idx="3">
                  <c:v>Marketing</c:v>
                </c:pt>
                <c:pt idx="4">
                  <c:v>Operations</c:v>
                </c:pt>
              </c:strCache>
            </c:strRef>
          </c:cat>
          <c:val>
            <c:numRef>
              <c:f>'Dept_exp vs bud'!$C$4:$C$8</c:f>
              <c:numCache>
                <c:formatCode>General</c:formatCode>
                <c:ptCount val="5"/>
                <c:pt idx="0">
                  <c:v>12500</c:v>
                </c:pt>
                <c:pt idx="1">
                  <c:v>50000</c:v>
                </c:pt>
                <c:pt idx="2">
                  <c:v>26000</c:v>
                </c:pt>
                <c:pt idx="3">
                  <c:v>65000</c:v>
                </c:pt>
                <c:pt idx="4">
                  <c:v>16000</c:v>
                </c:pt>
              </c:numCache>
            </c:numRef>
          </c:val>
          <c:smooth val="0"/>
          <c:extLst>
            <c:ext xmlns:c16="http://schemas.microsoft.com/office/drawing/2014/chart" uri="{C3380CC4-5D6E-409C-BE32-E72D297353CC}">
              <c16:uniqueId val="{00000001-D8EC-414C-B58F-212B6530EE2F}"/>
            </c:ext>
          </c:extLst>
        </c:ser>
        <c:dLbls>
          <c:showLegendKey val="0"/>
          <c:showVal val="0"/>
          <c:showCatName val="0"/>
          <c:showSerName val="0"/>
          <c:showPercent val="0"/>
          <c:showBubbleSize val="0"/>
        </c:dLbls>
        <c:marker val="1"/>
        <c:smooth val="0"/>
        <c:axId val="239773376"/>
        <c:axId val="239791616"/>
      </c:lineChart>
      <c:catAx>
        <c:axId val="23977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91616"/>
        <c:crosses val="autoZero"/>
        <c:auto val="1"/>
        <c:lblAlgn val="ctr"/>
        <c:lblOffset val="100"/>
        <c:noMultiLvlLbl val="0"/>
      </c:catAx>
      <c:valAx>
        <c:axId val="23979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73376"/>
        <c:crosses val="autoZero"/>
        <c:crossBetween val="between"/>
      </c:valAx>
      <c:spPr>
        <a:noFill/>
        <a:ln>
          <a:noFill/>
        </a:ln>
        <a:effectLst/>
      </c:spPr>
    </c:plotArea>
    <c:legend>
      <c:legendPos val="r"/>
      <c:layout>
        <c:manualLayout>
          <c:xMode val="edge"/>
          <c:yMode val="edge"/>
          <c:x val="0.72248600174978139"/>
          <c:y val="5.7815689705455859E-4"/>
          <c:w val="0.2775139982502187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Project.xlsx]payment method!PivotTable5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78-4D53-AF5D-2C99E25509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78-4D53-AF5D-2C99E25509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78-4D53-AF5D-2C99E25509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78-4D53-AF5D-2C99E25509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78-4D53-AF5D-2C99E25509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method'!$A$4:$A$9</c:f>
              <c:strCache>
                <c:ptCount val="5"/>
                <c:pt idx="0">
                  <c:v>Bank Transfer</c:v>
                </c:pt>
                <c:pt idx="1">
                  <c:v>Card</c:v>
                </c:pt>
                <c:pt idx="2">
                  <c:v>Cash</c:v>
                </c:pt>
                <c:pt idx="3">
                  <c:v>Online</c:v>
                </c:pt>
                <c:pt idx="4">
                  <c:v>UPI</c:v>
                </c:pt>
              </c:strCache>
            </c:strRef>
          </c:cat>
          <c:val>
            <c:numRef>
              <c:f>'payment method'!$B$4:$B$9</c:f>
              <c:numCache>
                <c:formatCode>0.00%</c:formatCode>
                <c:ptCount val="5"/>
                <c:pt idx="0">
                  <c:v>0.23564954682779457</c:v>
                </c:pt>
                <c:pt idx="1">
                  <c:v>0.22356495468277945</c:v>
                </c:pt>
                <c:pt idx="2">
                  <c:v>1.5105740181268883E-2</c:v>
                </c:pt>
                <c:pt idx="3">
                  <c:v>0.39274924471299094</c:v>
                </c:pt>
                <c:pt idx="4">
                  <c:v>0.13293051359516617</c:v>
                </c:pt>
              </c:numCache>
            </c:numRef>
          </c:val>
          <c:extLst>
            <c:ext xmlns:c16="http://schemas.microsoft.com/office/drawing/2014/chart" uri="{C3380CC4-5D6E-409C-BE32-E72D297353CC}">
              <c16:uniqueId val="{0000000A-AA78-4D53-AF5D-2C99E25509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Project.xlsx]Status Ratio!PivotTable6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'Status Ratio'!$B$3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7D-4CB8-9C9E-E6C6501BFB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7D-4CB8-9C9E-E6C6501BFB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Ratio'!$A$4:$A$6</c:f>
              <c:strCache>
                <c:ptCount val="2"/>
                <c:pt idx="0">
                  <c:v>Over Budget</c:v>
                </c:pt>
                <c:pt idx="1">
                  <c:v>Within Budget</c:v>
                </c:pt>
              </c:strCache>
            </c:strRef>
          </c:cat>
          <c:val>
            <c:numRef>
              <c:f>'Status Ratio'!$B$4:$B$6</c:f>
              <c:numCache>
                <c:formatCode>0.00%</c:formatCode>
                <c:ptCount val="2"/>
                <c:pt idx="0">
                  <c:v>0.3987915407854985</c:v>
                </c:pt>
                <c:pt idx="1">
                  <c:v>0.6012084592145015</c:v>
                </c:pt>
              </c:numCache>
            </c:numRef>
          </c:val>
          <c:extLst>
            <c:ext xmlns:c16="http://schemas.microsoft.com/office/drawing/2014/chart" uri="{C3380CC4-5D6E-409C-BE32-E72D297353CC}">
              <c16:uniqueId val="{00000004-A27D-4CB8-9C9E-E6C6501BFB6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Project.xlsx]Vendor_Exp vs Variance!PivotTable7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Vendor</a:t>
            </a:r>
            <a:r>
              <a:rPr lang="en-IN" baseline="0"/>
              <a:t>: Exp Vs Variance</a:t>
            </a:r>
          </a:p>
        </c:rich>
      </c:tx>
      <c:layout>
        <c:manualLayout>
          <c:xMode val="edge"/>
          <c:yMode val="edge"/>
          <c:x val="2.2222222222222144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7171296296296296"/>
          <c:w val="0.79746303587051615"/>
          <c:h val="0.54463655584718573"/>
        </c:manualLayout>
      </c:layout>
      <c:barChart>
        <c:barDir val="col"/>
        <c:grouping val="clustered"/>
        <c:varyColors val="0"/>
        <c:ser>
          <c:idx val="0"/>
          <c:order val="0"/>
          <c:tx>
            <c:strRef>
              <c:f>'Vendor_Exp vs Variance'!$B$3</c:f>
              <c:strCache>
                <c:ptCount val="1"/>
                <c:pt idx="0">
                  <c:v>Sum of Expense (₹)</c:v>
                </c:pt>
              </c:strCache>
            </c:strRef>
          </c:tx>
          <c:spPr>
            <a:solidFill>
              <a:schemeClr val="accent1"/>
            </a:solidFill>
            <a:ln>
              <a:noFill/>
            </a:ln>
            <a:effectLst/>
          </c:spPr>
          <c:invertIfNegative val="0"/>
          <c:cat>
            <c:strRef>
              <c:f>'Vendor_Exp vs Variance'!$A$4:$A$13</c:f>
              <c:strCache>
                <c:ptCount val="10"/>
                <c:pt idx="0">
                  <c:v>Dell</c:v>
                </c:pt>
                <c:pt idx="1">
                  <c:v>EventPro</c:v>
                </c:pt>
                <c:pt idx="2">
                  <c:v>FixIt</c:v>
                </c:pt>
                <c:pt idx="3">
                  <c:v>Google</c:v>
                </c:pt>
                <c:pt idx="4">
                  <c:v>HP Petrol</c:v>
                </c:pt>
                <c:pt idx="5">
                  <c:v>Local Vendor</c:v>
                </c:pt>
                <c:pt idx="6">
                  <c:v>Norton</c:v>
                </c:pt>
                <c:pt idx="7">
                  <c:v>OfficeMart</c:v>
                </c:pt>
                <c:pt idx="8">
                  <c:v>SkillUp</c:v>
                </c:pt>
                <c:pt idx="9">
                  <c:v>Tata Power</c:v>
                </c:pt>
              </c:strCache>
            </c:strRef>
          </c:cat>
          <c:val>
            <c:numRef>
              <c:f>'Vendor_Exp vs Variance'!$B$4:$B$13</c:f>
              <c:numCache>
                <c:formatCode>General</c:formatCode>
                <c:ptCount val="10"/>
                <c:pt idx="0">
                  <c:v>18000</c:v>
                </c:pt>
                <c:pt idx="1">
                  <c:v>40000</c:v>
                </c:pt>
                <c:pt idx="2">
                  <c:v>7000</c:v>
                </c:pt>
                <c:pt idx="3">
                  <c:v>25000</c:v>
                </c:pt>
                <c:pt idx="4">
                  <c:v>12000</c:v>
                </c:pt>
                <c:pt idx="5">
                  <c:v>30000</c:v>
                </c:pt>
                <c:pt idx="6">
                  <c:v>7000</c:v>
                </c:pt>
                <c:pt idx="7">
                  <c:v>2500</c:v>
                </c:pt>
                <c:pt idx="8">
                  <c:v>15000</c:v>
                </c:pt>
                <c:pt idx="9">
                  <c:v>9000</c:v>
                </c:pt>
              </c:numCache>
            </c:numRef>
          </c:val>
          <c:extLst>
            <c:ext xmlns:c16="http://schemas.microsoft.com/office/drawing/2014/chart" uri="{C3380CC4-5D6E-409C-BE32-E72D297353CC}">
              <c16:uniqueId val="{00000000-8F25-471F-8DF3-BB86C3B1A5EB}"/>
            </c:ext>
          </c:extLst>
        </c:ser>
        <c:dLbls>
          <c:showLegendKey val="0"/>
          <c:showVal val="0"/>
          <c:showCatName val="0"/>
          <c:showSerName val="0"/>
          <c:showPercent val="0"/>
          <c:showBubbleSize val="0"/>
        </c:dLbls>
        <c:gapWidth val="219"/>
        <c:overlap val="-27"/>
        <c:axId val="421149952"/>
        <c:axId val="421155232"/>
      </c:barChart>
      <c:lineChart>
        <c:grouping val="standard"/>
        <c:varyColors val="0"/>
        <c:ser>
          <c:idx val="1"/>
          <c:order val="1"/>
          <c:tx>
            <c:strRef>
              <c:f>'Vendor_Exp vs Variance'!$C$3</c:f>
              <c:strCache>
                <c:ptCount val="1"/>
                <c:pt idx="0">
                  <c:v>Sum of Variance (₹)</c:v>
                </c:pt>
              </c:strCache>
            </c:strRef>
          </c:tx>
          <c:spPr>
            <a:ln w="28575" cap="rnd">
              <a:solidFill>
                <a:schemeClr val="accent2"/>
              </a:solidFill>
              <a:round/>
            </a:ln>
            <a:effectLst/>
          </c:spPr>
          <c:marker>
            <c:symbol val="none"/>
          </c:marker>
          <c:cat>
            <c:strRef>
              <c:f>'Vendor_Exp vs Variance'!$A$4:$A$13</c:f>
              <c:strCache>
                <c:ptCount val="10"/>
                <c:pt idx="0">
                  <c:v>Dell</c:v>
                </c:pt>
                <c:pt idx="1">
                  <c:v>EventPro</c:v>
                </c:pt>
                <c:pt idx="2">
                  <c:v>FixIt</c:v>
                </c:pt>
                <c:pt idx="3">
                  <c:v>Google</c:v>
                </c:pt>
                <c:pt idx="4">
                  <c:v>HP Petrol</c:v>
                </c:pt>
                <c:pt idx="5">
                  <c:v>Local Vendor</c:v>
                </c:pt>
                <c:pt idx="6">
                  <c:v>Norton</c:v>
                </c:pt>
                <c:pt idx="7">
                  <c:v>OfficeMart</c:v>
                </c:pt>
                <c:pt idx="8">
                  <c:v>SkillUp</c:v>
                </c:pt>
                <c:pt idx="9">
                  <c:v>Tata Power</c:v>
                </c:pt>
              </c:strCache>
            </c:strRef>
          </c:cat>
          <c:val>
            <c:numRef>
              <c:f>'Vendor_Exp vs Variance'!$C$4:$C$13</c:f>
              <c:numCache>
                <c:formatCode>General</c:formatCode>
                <c:ptCount val="10"/>
                <c:pt idx="0">
                  <c:v>2000</c:v>
                </c:pt>
                <c:pt idx="1">
                  <c:v>-5000</c:v>
                </c:pt>
                <c:pt idx="2">
                  <c:v>-1000</c:v>
                </c:pt>
                <c:pt idx="3">
                  <c:v>5000</c:v>
                </c:pt>
                <c:pt idx="4">
                  <c:v>-2000</c:v>
                </c:pt>
                <c:pt idx="5">
                  <c:v>0</c:v>
                </c:pt>
                <c:pt idx="6">
                  <c:v>-1000</c:v>
                </c:pt>
                <c:pt idx="7">
                  <c:v>500</c:v>
                </c:pt>
                <c:pt idx="8">
                  <c:v>5000</c:v>
                </c:pt>
                <c:pt idx="9">
                  <c:v>500</c:v>
                </c:pt>
              </c:numCache>
            </c:numRef>
          </c:val>
          <c:smooth val="0"/>
          <c:extLst>
            <c:ext xmlns:c16="http://schemas.microsoft.com/office/drawing/2014/chart" uri="{C3380CC4-5D6E-409C-BE32-E72D297353CC}">
              <c16:uniqueId val="{00000001-8F25-471F-8DF3-BB86C3B1A5EB}"/>
            </c:ext>
          </c:extLst>
        </c:ser>
        <c:dLbls>
          <c:showLegendKey val="0"/>
          <c:showVal val="0"/>
          <c:showCatName val="0"/>
          <c:showSerName val="0"/>
          <c:showPercent val="0"/>
          <c:showBubbleSize val="0"/>
        </c:dLbls>
        <c:marker val="1"/>
        <c:smooth val="0"/>
        <c:axId val="421156672"/>
        <c:axId val="421154272"/>
      </c:lineChart>
      <c:catAx>
        <c:axId val="42114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55232"/>
        <c:crosses val="autoZero"/>
        <c:auto val="1"/>
        <c:lblAlgn val="ctr"/>
        <c:lblOffset val="100"/>
        <c:noMultiLvlLbl val="0"/>
      </c:catAx>
      <c:valAx>
        <c:axId val="421155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49952"/>
        <c:crosses val="autoZero"/>
        <c:crossBetween val="between"/>
      </c:valAx>
      <c:valAx>
        <c:axId val="4211542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56672"/>
        <c:crosses val="max"/>
        <c:crossBetween val="between"/>
      </c:valAx>
      <c:catAx>
        <c:axId val="421156672"/>
        <c:scaling>
          <c:orientation val="minMax"/>
        </c:scaling>
        <c:delete val="1"/>
        <c:axPos val="b"/>
        <c:numFmt formatCode="General" sourceLinked="1"/>
        <c:majorTickMark val="out"/>
        <c:minorTickMark val="none"/>
        <c:tickLblPos val="nextTo"/>
        <c:crossAx val="421154272"/>
        <c:crosses val="autoZero"/>
        <c:auto val="1"/>
        <c:lblAlgn val="ctr"/>
        <c:lblOffset val="100"/>
        <c:noMultiLvlLbl val="0"/>
      </c:catAx>
      <c:spPr>
        <a:noFill/>
        <a:ln>
          <a:noFill/>
        </a:ln>
        <a:effectLst/>
      </c:spPr>
    </c:plotArea>
    <c:legend>
      <c:legendPos val="r"/>
      <c:layout>
        <c:manualLayout>
          <c:xMode val="edge"/>
          <c:yMode val="edge"/>
          <c:x val="0.71773600174978125"/>
          <c:y val="7.8630796150478571E-4"/>
          <c:w val="0.2822639982502187"/>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Project.xlsx]month_Expense vs budget!PivotTable2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Expense vs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'month_Expense vs budget'!$B$3</c:f>
              <c:strCache>
                <c:ptCount val="1"/>
                <c:pt idx="0">
                  <c:v>Sum of Expense (₹)</c:v>
                </c:pt>
              </c:strCache>
            </c:strRef>
          </c:tx>
          <c:spPr>
            <a:solidFill>
              <a:schemeClr val="accent1"/>
            </a:solidFill>
            <a:ln>
              <a:noFill/>
            </a:ln>
            <a:effectLst/>
          </c:spPr>
          <c:invertIfNegative val="0"/>
          <c:cat>
            <c:strRef>
              <c:f>'month_Expense vs budget'!$A$4:$A$5</c:f>
              <c:strCache>
                <c:ptCount val="1"/>
                <c:pt idx="0">
                  <c:v>January</c:v>
                </c:pt>
              </c:strCache>
            </c:strRef>
          </c:cat>
          <c:val>
            <c:numRef>
              <c:f>'month_Expense vs budget'!$B$4:$B$5</c:f>
              <c:numCache>
                <c:formatCode>General</c:formatCode>
                <c:ptCount val="1"/>
                <c:pt idx="0">
                  <c:v>165500</c:v>
                </c:pt>
              </c:numCache>
            </c:numRef>
          </c:val>
          <c:extLst>
            <c:ext xmlns:c16="http://schemas.microsoft.com/office/drawing/2014/chart" uri="{C3380CC4-5D6E-409C-BE32-E72D297353CC}">
              <c16:uniqueId val="{00000000-C96B-4F22-9F5B-F9419553C27D}"/>
            </c:ext>
          </c:extLst>
        </c:ser>
        <c:dLbls>
          <c:showLegendKey val="0"/>
          <c:showVal val="0"/>
          <c:showCatName val="0"/>
          <c:showSerName val="0"/>
          <c:showPercent val="0"/>
          <c:showBubbleSize val="0"/>
        </c:dLbls>
        <c:gapWidth val="219"/>
        <c:overlap val="-27"/>
        <c:axId val="2001188304"/>
        <c:axId val="2001195504"/>
      </c:barChart>
      <c:lineChart>
        <c:grouping val="standard"/>
        <c:varyColors val="0"/>
        <c:ser>
          <c:idx val="1"/>
          <c:order val="1"/>
          <c:tx>
            <c:strRef>
              <c:f>'month_Expense vs budget'!$C$3</c:f>
              <c:strCache>
                <c:ptCount val="1"/>
                <c:pt idx="0">
                  <c:v>Sum of Budget (₹)</c:v>
                </c:pt>
              </c:strCache>
            </c:strRef>
          </c:tx>
          <c:spPr>
            <a:ln w="28575" cap="rnd">
              <a:solidFill>
                <a:schemeClr val="accent2"/>
              </a:solidFill>
              <a:round/>
            </a:ln>
            <a:effectLst/>
          </c:spPr>
          <c:marker>
            <c:symbol val="none"/>
          </c:marker>
          <c:cat>
            <c:strRef>
              <c:f>'month_Expense vs budget'!$A$4:$A$5</c:f>
              <c:strCache>
                <c:ptCount val="1"/>
                <c:pt idx="0">
                  <c:v>January</c:v>
                </c:pt>
              </c:strCache>
            </c:strRef>
          </c:cat>
          <c:val>
            <c:numRef>
              <c:f>'month_Expense vs budget'!$C$4:$C$5</c:f>
              <c:numCache>
                <c:formatCode>General</c:formatCode>
                <c:ptCount val="1"/>
                <c:pt idx="0">
                  <c:v>169500</c:v>
                </c:pt>
              </c:numCache>
            </c:numRef>
          </c:val>
          <c:smooth val="0"/>
          <c:extLst>
            <c:ext xmlns:c16="http://schemas.microsoft.com/office/drawing/2014/chart" uri="{C3380CC4-5D6E-409C-BE32-E72D297353CC}">
              <c16:uniqueId val="{00000001-C96B-4F22-9F5B-F9419553C27D}"/>
            </c:ext>
          </c:extLst>
        </c:ser>
        <c:dLbls>
          <c:showLegendKey val="0"/>
          <c:showVal val="0"/>
          <c:showCatName val="0"/>
          <c:showSerName val="0"/>
          <c:showPercent val="0"/>
          <c:showBubbleSize val="0"/>
        </c:dLbls>
        <c:marker val="1"/>
        <c:smooth val="0"/>
        <c:axId val="2001208464"/>
        <c:axId val="2001207504"/>
      </c:lineChart>
      <c:catAx>
        <c:axId val="20011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95504"/>
        <c:crosses val="autoZero"/>
        <c:auto val="1"/>
        <c:lblAlgn val="ctr"/>
        <c:lblOffset val="100"/>
        <c:noMultiLvlLbl val="0"/>
      </c:catAx>
      <c:valAx>
        <c:axId val="200119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88304"/>
        <c:crosses val="autoZero"/>
        <c:crossBetween val="between"/>
      </c:valAx>
      <c:valAx>
        <c:axId val="20012075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08464"/>
        <c:crosses val="max"/>
        <c:crossBetween val="between"/>
      </c:valAx>
      <c:catAx>
        <c:axId val="2001208464"/>
        <c:scaling>
          <c:orientation val="minMax"/>
        </c:scaling>
        <c:delete val="1"/>
        <c:axPos val="b"/>
        <c:numFmt formatCode="General" sourceLinked="1"/>
        <c:majorTickMark val="out"/>
        <c:minorTickMark val="none"/>
        <c:tickLblPos val="nextTo"/>
        <c:crossAx val="2001207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Project.xlsx]category vs expense!PivotTable3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vs expense'!$B$3</c:f>
              <c:strCache>
                <c:ptCount val="1"/>
                <c:pt idx="0">
                  <c:v>Total</c:v>
                </c:pt>
              </c:strCache>
            </c:strRef>
          </c:tx>
          <c:spPr>
            <a:solidFill>
              <a:schemeClr val="accent1"/>
            </a:solidFill>
            <a:ln>
              <a:noFill/>
            </a:ln>
            <a:effectLst/>
          </c:spPr>
          <c:invertIfNegative val="0"/>
          <c:cat>
            <c:strRef>
              <c:f>'category vs expense'!$A$4:$A$13</c:f>
              <c:strCache>
                <c:ptCount val="10"/>
                <c:pt idx="0">
                  <c:v>Advertising</c:v>
                </c:pt>
                <c:pt idx="1">
                  <c:v>Events</c:v>
                </c:pt>
                <c:pt idx="2">
                  <c:v>Hardware</c:v>
                </c:pt>
                <c:pt idx="3">
                  <c:v>Maintenance</c:v>
                </c:pt>
                <c:pt idx="4">
                  <c:v>Salaries</c:v>
                </c:pt>
                <c:pt idx="5">
                  <c:v>Software</c:v>
                </c:pt>
                <c:pt idx="6">
                  <c:v>Stationery</c:v>
                </c:pt>
                <c:pt idx="7">
                  <c:v>Training</c:v>
                </c:pt>
                <c:pt idx="8">
                  <c:v>Travel</c:v>
                </c:pt>
                <c:pt idx="9">
                  <c:v>Utilities</c:v>
                </c:pt>
              </c:strCache>
            </c:strRef>
          </c:cat>
          <c:val>
            <c:numRef>
              <c:f>'category vs expense'!$B$4:$B$13</c:f>
              <c:numCache>
                <c:formatCode>General</c:formatCode>
                <c:ptCount val="10"/>
                <c:pt idx="0">
                  <c:v>25000</c:v>
                </c:pt>
                <c:pt idx="1">
                  <c:v>40000</c:v>
                </c:pt>
                <c:pt idx="2">
                  <c:v>18000</c:v>
                </c:pt>
                <c:pt idx="3">
                  <c:v>7000</c:v>
                </c:pt>
                <c:pt idx="4">
                  <c:v>30000</c:v>
                </c:pt>
                <c:pt idx="5">
                  <c:v>7000</c:v>
                </c:pt>
                <c:pt idx="6">
                  <c:v>2500</c:v>
                </c:pt>
                <c:pt idx="7">
                  <c:v>15000</c:v>
                </c:pt>
                <c:pt idx="8">
                  <c:v>12000</c:v>
                </c:pt>
                <c:pt idx="9">
                  <c:v>9000</c:v>
                </c:pt>
              </c:numCache>
            </c:numRef>
          </c:val>
          <c:extLst>
            <c:ext xmlns:c16="http://schemas.microsoft.com/office/drawing/2014/chart" uri="{C3380CC4-5D6E-409C-BE32-E72D297353CC}">
              <c16:uniqueId val="{00000000-8FE6-447F-9617-27D78D44299C}"/>
            </c:ext>
          </c:extLst>
        </c:ser>
        <c:dLbls>
          <c:showLegendKey val="0"/>
          <c:showVal val="0"/>
          <c:showCatName val="0"/>
          <c:showSerName val="0"/>
          <c:showPercent val="0"/>
          <c:showBubbleSize val="0"/>
        </c:dLbls>
        <c:gapWidth val="182"/>
        <c:axId val="2001162864"/>
        <c:axId val="2001179664"/>
      </c:barChart>
      <c:catAx>
        <c:axId val="200116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79664"/>
        <c:crosses val="autoZero"/>
        <c:auto val="1"/>
        <c:lblAlgn val="ctr"/>
        <c:lblOffset val="100"/>
        <c:noMultiLvlLbl val="0"/>
      </c:catAx>
      <c:valAx>
        <c:axId val="2001179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6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Project.xlsx]Dept_exp vs bud!PivotTable4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a:t>
            </a:r>
            <a:r>
              <a:rPr lang="en-IN" baseline="0"/>
              <a:t> Expense vs Budget</a:t>
            </a:r>
          </a:p>
        </c:rich>
      </c:tx>
      <c:layout>
        <c:manualLayout>
          <c:xMode val="edge"/>
          <c:yMode val="edge"/>
          <c:x val="6.119444444444445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80246062992125999"/>
          <c:h val="0.74403579760863225"/>
        </c:manualLayout>
      </c:layout>
      <c:barChart>
        <c:barDir val="col"/>
        <c:grouping val="clustered"/>
        <c:varyColors val="0"/>
        <c:ser>
          <c:idx val="0"/>
          <c:order val="0"/>
          <c:tx>
            <c:strRef>
              <c:f>'Dept_exp vs bud'!$B$3</c:f>
              <c:strCache>
                <c:ptCount val="1"/>
                <c:pt idx="0">
                  <c:v>Sum of Expense (₹)</c:v>
                </c:pt>
              </c:strCache>
            </c:strRef>
          </c:tx>
          <c:spPr>
            <a:solidFill>
              <a:schemeClr val="accent1"/>
            </a:solidFill>
            <a:ln>
              <a:noFill/>
            </a:ln>
            <a:effectLst/>
          </c:spPr>
          <c:invertIfNegative val="0"/>
          <c:cat>
            <c:strRef>
              <c:f>'Dept_exp vs bud'!$A$4:$A$8</c:f>
              <c:strCache>
                <c:ptCount val="5"/>
                <c:pt idx="0">
                  <c:v>Finance</c:v>
                </c:pt>
                <c:pt idx="1">
                  <c:v>HR</c:v>
                </c:pt>
                <c:pt idx="2">
                  <c:v>IT</c:v>
                </c:pt>
                <c:pt idx="3">
                  <c:v>Marketing</c:v>
                </c:pt>
                <c:pt idx="4">
                  <c:v>Operations</c:v>
                </c:pt>
              </c:strCache>
            </c:strRef>
          </c:cat>
          <c:val>
            <c:numRef>
              <c:f>'Dept_exp vs bud'!$B$4:$B$8</c:f>
              <c:numCache>
                <c:formatCode>General</c:formatCode>
                <c:ptCount val="5"/>
                <c:pt idx="0">
                  <c:v>11500</c:v>
                </c:pt>
                <c:pt idx="1">
                  <c:v>45000</c:v>
                </c:pt>
                <c:pt idx="2">
                  <c:v>25000</c:v>
                </c:pt>
                <c:pt idx="3">
                  <c:v>65000</c:v>
                </c:pt>
                <c:pt idx="4">
                  <c:v>19000</c:v>
                </c:pt>
              </c:numCache>
            </c:numRef>
          </c:val>
          <c:extLst>
            <c:ext xmlns:c16="http://schemas.microsoft.com/office/drawing/2014/chart" uri="{C3380CC4-5D6E-409C-BE32-E72D297353CC}">
              <c16:uniqueId val="{00000000-12C0-433A-81E7-4A8E13BA5E03}"/>
            </c:ext>
          </c:extLst>
        </c:ser>
        <c:dLbls>
          <c:showLegendKey val="0"/>
          <c:showVal val="0"/>
          <c:showCatName val="0"/>
          <c:showSerName val="0"/>
          <c:showPercent val="0"/>
          <c:showBubbleSize val="0"/>
        </c:dLbls>
        <c:gapWidth val="219"/>
        <c:overlap val="-27"/>
        <c:axId val="239773376"/>
        <c:axId val="239791616"/>
      </c:barChart>
      <c:lineChart>
        <c:grouping val="standard"/>
        <c:varyColors val="0"/>
        <c:ser>
          <c:idx val="1"/>
          <c:order val="1"/>
          <c:tx>
            <c:strRef>
              <c:f>'Dept_exp vs bud'!$C$3</c:f>
              <c:strCache>
                <c:ptCount val="1"/>
                <c:pt idx="0">
                  <c:v>Sum of Budget (₹)</c:v>
                </c:pt>
              </c:strCache>
            </c:strRef>
          </c:tx>
          <c:spPr>
            <a:ln w="28575" cap="rnd">
              <a:solidFill>
                <a:schemeClr val="accent2"/>
              </a:solidFill>
              <a:round/>
            </a:ln>
            <a:effectLst/>
          </c:spPr>
          <c:marker>
            <c:symbol val="none"/>
          </c:marker>
          <c:cat>
            <c:strRef>
              <c:f>'Dept_exp vs bud'!$A$4:$A$8</c:f>
              <c:strCache>
                <c:ptCount val="5"/>
                <c:pt idx="0">
                  <c:v>Finance</c:v>
                </c:pt>
                <c:pt idx="1">
                  <c:v>HR</c:v>
                </c:pt>
                <c:pt idx="2">
                  <c:v>IT</c:v>
                </c:pt>
                <c:pt idx="3">
                  <c:v>Marketing</c:v>
                </c:pt>
                <c:pt idx="4">
                  <c:v>Operations</c:v>
                </c:pt>
              </c:strCache>
            </c:strRef>
          </c:cat>
          <c:val>
            <c:numRef>
              <c:f>'Dept_exp vs bud'!$C$4:$C$8</c:f>
              <c:numCache>
                <c:formatCode>General</c:formatCode>
                <c:ptCount val="5"/>
                <c:pt idx="0">
                  <c:v>12500</c:v>
                </c:pt>
                <c:pt idx="1">
                  <c:v>50000</c:v>
                </c:pt>
                <c:pt idx="2">
                  <c:v>26000</c:v>
                </c:pt>
                <c:pt idx="3">
                  <c:v>65000</c:v>
                </c:pt>
                <c:pt idx="4">
                  <c:v>16000</c:v>
                </c:pt>
              </c:numCache>
            </c:numRef>
          </c:val>
          <c:smooth val="0"/>
          <c:extLst>
            <c:ext xmlns:c16="http://schemas.microsoft.com/office/drawing/2014/chart" uri="{C3380CC4-5D6E-409C-BE32-E72D297353CC}">
              <c16:uniqueId val="{00000001-12C0-433A-81E7-4A8E13BA5E03}"/>
            </c:ext>
          </c:extLst>
        </c:ser>
        <c:dLbls>
          <c:showLegendKey val="0"/>
          <c:showVal val="0"/>
          <c:showCatName val="0"/>
          <c:showSerName val="0"/>
          <c:showPercent val="0"/>
          <c:showBubbleSize val="0"/>
        </c:dLbls>
        <c:marker val="1"/>
        <c:smooth val="0"/>
        <c:axId val="239773376"/>
        <c:axId val="239791616"/>
      </c:lineChart>
      <c:catAx>
        <c:axId val="23977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91616"/>
        <c:crosses val="autoZero"/>
        <c:auto val="1"/>
        <c:lblAlgn val="ctr"/>
        <c:lblOffset val="100"/>
        <c:noMultiLvlLbl val="0"/>
      </c:catAx>
      <c:valAx>
        <c:axId val="23979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73376"/>
        <c:crosses val="autoZero"/>
        <c:crossBetween val="between"/>
      </c:valAx>
      <c:spPr>
        <a:noFill/>
        <a:ln>
          <a:noFill/>
        </a:ln>
        <a:effectLst/>
      </c:spPr>
    </c:plotArea>
    <c:legend>
      <c:legendPos val="r"/>
      <c:layout>
        <c:manualLayout>
          <c:xMode val="edge"/>
          <c:yMode val="edge"/>
          <c:x val="0.72248600174978139"/>
          <c:y val="5.7815689705455859E-4"/>
          <c:w val="0.2775139982502187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Project.xlsx]payment method!PivotTable5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6E-4719-AF15-41A6ECF1E0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6E-4719-AF15-41A6ECF1E0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6E-4719-AF15-41A6ECF1E0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6E-4719-AF15-41A6ECF1E0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6E-4719-AF15-41A6ECF1E0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method'!$A$4:$A$9</c:f>
              <c:strCache>
                <c:ptCount val="5"/>
                <c:pt idx="0">
                  <c:v>Bank Transfer</c:v>
                </c:pt>
                <c:pt idx="1">
                  <c:v>Card</c:v>
                </c:pt>
                <c:pt idx="2">
                  <c:v>Cash</c:v>
                </c:pt>
                <c:pt idx="3">
                  <c:v>Online</c:v>
                </c:pt>
                <c:pt idx="4">
                  <c:v>UPI</c:v>
                </c:pt>
              </c:strCache>
            </c:strRef>
          </c:cat>
          <c:val>
            <c:numRef>
              <c:f>'payment method'!$B$4:$B$9</c:f>
              <c:numCache>
                <c:formatCode>0.00%</c:formatCode>
                <c:ptCount val="5"/>
                <c:pt idx="0">
                  <c:v>0.23564954682779457</c:v>
                </c:pt>
                <c:pt idx="1">
                  <c:v>0.22356495468277945</c:v>
                </c:pt>
                <c:pt idx="2">
                  <c:v>1.5105740181268883E-2</c:v>
                </c:pt>
                <c:pt idx="3">
                  <c:v>0.39274924471299094</c:v>
                </c:pt>
                <c:pt idx="4">
                  <c:v>0.13293051359516617</c:v>
                </c:pt>
              </c:numCache>
            </c:numRef>
          </c:val>
          <c:extLst>
            <c:ext xmlns:c16="http://schemas.microsoft.com/office/drawing/2014/chart" uri="{C3380CC4-5D6E-409C-BE32-E72D297353CC}">
              <c16:uniqueId val="{00000000-53C5-4882-BBF1-F962C4E54EC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Project.xlsx]Status Ratio!PivotTable6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'Status Ratio'!$B$3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29-4003-AA65-7F554E22C4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29-4003-AA65-7F554E22C4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Ratio'!$A$4:$A$6</c:f>
              <c:strCache>
                <c:ptCount val="2"/>
                <c:pt idx="0">
                  <c:v>Over Budget</c:v>
                </c:pt>
                <c:pt idx="1">
                  <c:v>Within Budget</c:v>
                </c:pt>
              </c:strCache>
            </c:strRef>
          </c:cat>
          <c:val>
            <c:numRef>
              <c:f>'Status Ratio'!$B$4:$B$6</c:f>
              <c:numCache>
                <c:formatCode>0.00%</c:formatCode>
                <c:ptCount val="2"/>
                <c:pt idx="0">
                  <c:v>0.3987915407854985</c:v>
                </c:pt>
                <c:pt idx="1">
                  <c:v>0.6012084592145015</c:v>
                </c:pt>
              </c:numCache>
            </c:numRef>
          </c:val>
          <c:extLst>
            <c:ext xmlns:c16="http://schemas.microsoft.com/office/drawing/2014/chart" uri="{C3380CC4-5D6E-409C-BE32-E72D297353CC}">
              <c16:uniqueId val="{00000000-D461-499E-A5D0-C9804A432A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Project.xlsx]Vendor_Exp vs Variance!PivotTable7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Vendor</a:t>
            </a:r>
            <a:r>
              <a:rPr lang="en-IN" baseline="0"/>
              <a:t>: Exp Vs Variance</a:t>
            </a:r>
          </a:p>
        </c:rich>
      </c:tx>
      <c:layout>
        <c:manualLayout>
          <c:xMode val="edge"/>
          <c:yMode val="edge"/>
          <c:x val="2.2222222222222144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7171296296296296"/>
          <c:w val="0.79746303587051615"/>
          <c:h val="0.54463655584718573"/>
        </c:manualLayout>
      </c:layout>
      <c:barChart>
        <c:barDir val="col"/>
        <c:grouping val="clustered"/>
        <c:varyColors val="0"/>
        <c:ser>
          <c:idx val="0"/>
          <c:order val="0"/>
          <c:tx>
            <c:strRef>
              <c:f>'Vendor_Exp vs Variance'!$B$3</c:f>
              <c:strCache>
                <c:ptCount val="1"/>
                <c:pt idx="0">
                  <c:v>Sum of Expense (₹)</c:v>
                </c:pt>
              </c:strCache>
            </c:strRef>
          </c:tx>
          <c:spPr>
            <a:solidFill>
              <a:schemeClr val="accent1"/>
            </a:solidFill>
            <a:ln>
              <a:noFill/>
            </a:ln>
            <a:effectLst/>
          </c:spPr>
          <c:invertIfNegative val="0"/>
          <c:cat>
            <c:strRef>
              <c:f>'Vendor_Exp vs Variance'!$A$4:$A$13</c:f>
              <c:strCache>
                <c:ptCount val="10"/>
                <c:pt idx="0">
                  <c:v>Dell</c:v>
                </c:pt>
                <c:pt idx="1">
                  <c:v>EventPro</c:v>
                </c:pt>
                <c:pt idx="2">
                  <c:v>FixIt</c:v>
                </c:pt>
                <c:pt idx="3">
                  <c:v>Google</c:v>
                </c:pt>
                <c:pt idx="4">
                  <c:v>HP Petrol</c:v>
                </c:pt>
                <c:pt idx="5">
                  <c:v>Local Vendor</c:v>
                </c:pt>
                <c:pt idx="6">
                  <c:v>Norton</c:v>
                </c:pt>
                <c:pt idx="7">
                  <c:v>OfficeMart</c:v>
                </c:pt>
                <c:pt idx="8">
                  <c:v>SkillUp</c:v>
                </c:pt>
                <c:pt idx="9">
                  <c:v>Tata Power</c:v>
                </c:pt>
              </c:strCache>
            </c:strRef>
          </c:cat>
          <c:val>
            <c:numRef>
              <c:f>'Vendor_Exp vs Variance'!$B$4:$B$13</c:f>
              <c:numCache>
                <c:formatCode>General</c:formatCode>
                <c:ptCount val="10"/>
                <c:pt idx="0">
                  <c:v>18000</c:v>
                </c:pt>
                <c:pt idx="1">
                  <c:v>40000</c:v>
                </c:pt>
                <c:pt idx="2">
                  <c:v>7000</c:v>
                </c:pt>
                <c:pt idx="3">
                  <c:v>25000</c:v>
                </c:pt>
                <c:pt idx="4">
                  <c:v>12000</c:v>
                </c:pt>
                <c:pt idx="5">
                  <c:v>30000</c:v>
                </c:pt>
                <c:pt idx="6">
                  <c:v>7000</c:v>
                </c:pt>
                <c:pt idx="7">
                  <c:v>2500</c:v>
                </c:pt>
                <c:pt idx="8">
                  <c:v>15000</c:v>
                </c:pt>
                <c:pt idx="9">
                  <c:v>9000</c:v>
                </c:pt>
              </c:numCache>
            </c:numRef>
          </c:val>
          <c:extLst>
            <c:ext xmlns:c16="http://schemas.microsoft.com/office/drawing/2014/chart" uri="{C3380CC4-5D6E-409C-BE32-E72D297353CC}">
              <c16:uniqueId val="{00000000-0DC9-461B-A5E6-EAEC974070DE}"/>
            </c:ext>
          </c:extLst>
        </c:ser>
        <c:dLbls>
          <c:showLegendKey val="0"/>
          <c:showVal val="0"/>
          <c:showCatName val="0"/>
          <c:showSerName val="0"/>
          <c:showPercent val="0"/>
          <c:showBubbleSize val="0"/>
        </c:dLbls>
        <c:gapWidth val="219"/>
        <c:overlap val="-27"/>
        <c:axId val="421149952"/>
        <c:axId val="421155232"/>
      </c:barChart>
      <c:lineChart>
        <c:grouping val="standard"/>
        <c:varyColors val="0"/>
        <c:ser>
          <c:idx val="1"/>
          <c:order val="1"/>
          <c:tx>
            <c:strRef>
              <c:f>'Vendor_Exp vs Variance'!$C$3</c:f>
              <c:strCache>
                <c:ptCount val="1"/>
                <c:pt idx="0">
                  <c:v>Sum of Variance (₹)</c:v>
                </c:pt>
              </c:strCache>
            </c:strRef>
          </c:tx>
          <c:spPr>
            <a:ln w="28575" cap="rnd">
              <a:solidFill>
                <a:schemeClr val="accent2"/>
              </a:solidFill>
              <a:round/>
            </a:ln>
            <a:effectLst/>
          </c:spPr>
          <c:marker>
            <c:symbol val="none"/>
          </c:marker>
          <c:cat>
            <c:strRef>
              <c:f>'Vendor_Exp vs Variance'!$A$4:$A$13</c:f>
              <c:strCache>
                <c:ptCount val="10"/>
                <c:pt idx="0">
                  <c:v>Dell</c:v>
                </c:pt>
                <c:pt idx="1">
                  <c:v>EventPro</c:v>
                </c:pt>
                <c:pt idx="2">
                  <c:v>FixIt</c:v>
                </c:pt>
                <c:pt idx="3">
                  <c:v>Google</c:v>
                </c:pt>
                <c:pt idx="4">
                  <c:v>HP Petrol</c:v>
                </c:pt>
                <c:pt idx="5">
                  <c:v>Local Vendor</c:v>
                </c:pt>
                <c:pt idx="6">
                  <c:v>Norton</c:v>
                </c:pt>
                <c:pt idx="7">
                  <c:v>OfficeMart</c:v>
                </c:pt>
                <c:pt idx="8">
                  <c:v>SkillUp</c:v>
                </c:pt>
                <c:pt idx="9">
                  <c:v>Tata Power</c:v>
                </c:pt>
              </c:strCache>
            </c:strRef>
          </c:cat>
          <c:val>
            <c:numRef>
              <c:f>'Vendor_Exp vs Variance'!$C$4:$C$13</c:f>
              <c:numCache>
                <c:formatCode>General</c:formatCode>
                <c:ptCount val="10"/>
                <c:pt idx="0">
                  <c:v>2000</c:v>
                </c:pt>
                <c:pt idx="1">
                  <c:v>-5000</c:v>
                </c:pt>
                <c:pt idx="2">
                  <c:v>-1000</c:v>
                </c:pt>
                <c:pt idx="3">
                  <c:v>5000</c:v>
                </c:pt>
                <c:pt idx="4">
                  <c:v>-2000</c:v>
                </c:pt>
                <c:pt idx="5">
                  <c:v>0</c:v>
                </c:pt>
                <c:pt idx="6">
                  <c:v>-1000</c:v>
                </c:pt>
                <c:pt idx="7">
                  <c:v>500</c:v>
                </c:pt>
                <c:pt idx="8">
                  <c:v>5000</c:v>
                </c:pt>
                <c:pt idx="9">
                  <c:v>500</c:v>
                </c:pt>
              </c:numCache>
            </c:numRef>
          </c:val>
          <c:smooth val="0"/>
          <c:extLst>
            <c:ext xmlns:c16="http://schemas.microsoft.com/office/drawing/2014/chart" uri="{C3380CC4-5D6E-409C-BE32-E72D297353CC}">
              <c16:uniqueId val="{00000001-0DC9-461B-A5E6-EAEC974070DE}"/>
            </c:ext>
          </c:extLst>
        </c:ser>
        <c:dLbls>
          <c:showLegendKey val="0"/>
          <c:showVal val="0"/>
          <c:showCatName val="0"/>
          <c:showSerName val="0"/>
          <c:showPercent val="0"/>
          <c:showBubbleSize val="0"/>
        </c:dLbls>
        <c:marker val="1"/>
        <c:smooth val="0"/>
        <c:axId val="421156672"/>
        <c:axId val="421154272"/>
      </c:lineChart>
      <c:catAx>
        <c:axId val="42114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55232"/>
        <c:crosses val="autoZero"/>
        <c:auto val="1"/>
        <c:lblAlgn val="ctr"/>
        <c:lblOffset val="100"/>
        <c:noMultiLvlLbl val="0"/>
      </c:catAx>
      <c:valAx>
        <c:axId val="421155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49952"/>
        <c:crosses val="autoZero"/>
        <c:crossBetween val="between"/>
      </c:valAx>
      <c:valAx>
        <c:axId val="4211542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56672"/>
        <c:crosses val="max"/>
        <c:crossBetween val="between"/>
      </c:valAx>
      <c:catAx>
        <c:axId val="421156672"/>
        <c:scaling>
          <c:orientation val="minMax"/>
        </c:scaling>
        <c:delete val="1"/>
        <c:axPos val="b"/>
        <c:numFmt formatCode="General" sourceLinked="1"/>
        <c:majorTickMark val="out"/>
        <c:minorTickMark val="none"/>
        <c:tickLblPos val="nextTo"/>
        <c:crossAx val="421154272"/>
        <c:crosses val="autoZero"/>
        <c:auto val="1"/>
        <c:lblAlgn val="ctr"/>
        <c:lblOffset val="100"/>
        <c:noMultiLvlLbl val="0"/>
      </c:catAx>
      <c:spPr>
        <a:noFill/>
        <a:ln>
          <a:noFill/>
        </a:ln>
        <a:effectLst/>
      </c:spPr>
    </c:plotArea>
    <c:legend>
      <c:legendPos val="r"/>
      <c:layout>
        <c:manualLayout>
          <c:xMode val="edge"/>
          <c:yMode val="edge"/>
          <c:x val="0.71773600174978125"/>
          <c:y val="7.8630796150478571E-4"/>
          <c:w val="0.2822639982502187"/>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129540</xdr:colOff>
      <xdr:row>1</xdr:row>
      <xdr:rowOff>83820</xdr:rowOff>
    </xdr:from>
    <xdr:to>
      <xdr:col>5</xdr:col>
      <xdr:colOff>213360</xdr:colOff>
      <xdr:row>6</xdr:row>
      <xdr:rowOff>76200</xdr:rowOff>
    </xdr:to>
    <xdr:sp macro="" textlink="">
      <xdr:nvSpPr>
        <xdr:cNvPr id="3" name="Rectangle: Rounded Corners 2">
          <a:extLst>
            <a:ext uri="{FF2B5EF4-FFF2-40B4-BE49-F238E27FC236}">
              <a16:creationId xmlns:a16="http://schemas.microsoft.com/office/drawing/2014/main" id="{E33DB42C-A329-549C-B694-9C625FA50E66}"/>
            </a:ext>
          </a:extLst>
        </xdr:cNvPr>
        <xdr:cNvSpPr/>
      </xdr:nvSpPr>
      <xdr:spPr>
        <a:xfrm>
          <a:off x="1958340" y="411480"/>
          <a:ext cx="1303020" cy="9067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289560</xdr:colOff>
      <xdr:row>1</xdr:row>
      <xdr:rowOff>83820</xdr:rowOff>
    </xdr:from>
    <xdr:ext cx="998863" cy="264560"/>
    <xdr:sp macro="" textlink="">
      <xdr:nvSpPr>
        <xdr:cNvPr id="4" name="TextBox 3">
          <a:extLst>
            <a:ext uri="{FF2B5EF4-FFF2-40B4-BE49-F238E27FC236}">
              <a16:creationId xmlns:a16="http://schemas.microsoft.com/office/drawing/2014/main" id="{C785D50B-F102-82DC-2D4A-C03BBD701491}"/>
            </a:ext>
          </a:extLst>
        </xdr:cNvPr>
        <xdr:cNvSpPr txBox="1"/>
      </xdr:nvSpPr>
      <xdr:spPr>
        <a:xfrm>
          <a:off x="2118360" y="411480"/>
          <a:ext cx="9988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Total Expense</a:t>
          </a:r>
        </a:p>
      </xdr:txBody>
    </xdr:sp>
    <xdr:clientData/>
  </xdr:oneCellAnchor>
  <xdr:twoCellAnchor editAs="oneCell">
    <xdr:from>
      <xdr:col>3</xdr:col>
      <xdr:colOff>182880</xdr:colOff>
      <xdr:row>4</xdr:row>
      <xdr:rowOff>76200</xdr:rowOff>
    </xdr:from>
    <xdr:to>
      <xdr:col>5</xdr:col>
      <xdr:colOff>152400</xdr:colOff>
      <xdr:row>6</xdr:row>
      <xdr:rowOff>191</xdr:rowOff>
    </xdr:to>
    <xdr:pic>
      <xdr:nvPicPr>
        <xdr:cNvPr id="11" name="Picture 10">
          <a:extLst>
            <a:ext uri="{FF2B5EF4-FFF2-40B4-BE49-F238E27FC236}">
              <a16:creationId xmlns:a16="http://schemas.microsoft.com/office/drawing/2014/main" id="{2D944CE5-C6F6-DBCD-659F-2935EEE203AE}"/>
            </a:ext>
          </a:extLst>
        </xdr:cNvPr>
        <xdr:cNvPicPr>
          <a:picLocks noChangeAspect="1" noChangeArrowheads="1"/>
        </xdr:cNvPicPr>
      </xdr:nvPicPr>
      <xdr:blipFill>
        <a:blip xmlns:r="http://schemas.openxmlformats.org/officeDocument/2006/relationships" r:embed="rId1">
          <a:lum bright="20000"/>
          <a:extLst>
            <a:ext uri="{28A0092B-C50C-407E-A947-70E740481C1C}">
              <a14:useLocalDpi xmlns:a14="http://schemas.microsoft.com/office/drawing/2010/main" val="0"/>
            </a:ext>
          </a:extLst>
        </a:blip>
        <a:srcRect/>
        <a:stretch>
          <a:fillRect/>
        </a:stretch>
      </xdr:blipFill>
      <xdr:spPr bwMode="auto">
        <a:xfrm>
          <a:off x="2011680" y="952500"/>
          <a:ext cx="1188720" cy="28975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320040</xdr:colOff>
      <xdr:row>2</xdr:row>
      <xdr:rowOff>121920</xdr:rowOff>
    </xdr:from>
    <xdr:to>
      <xdr:col>5</xdr:col>
      <xdr:colOff>15240</xdr:colOff>
      <xdr:row>4</xdr:row>
      <xdr:rowOff>76200</xdr:rowOff>
    </xdr:to>
    <xdr:sp macro="" textlink="'Expense Data'!$H$33">
      <xdr:nvSpPr>
        <xdr:cNvPr id="10" name="TextBox 9">
          <a:extLst>
            <a:ext uri="{FF2B5EF4-FFF2-40B4-BE49-F238E27FC236}">
              <a16:creationId xmlns:a16="http://schemas.microsoft.com/office/drawing/2014/main" id="{6A880153-7F0C-27EC-96A8-F7DDFB7BDF5B}"/>
            </a:ext>
          </a:extLst>
        </xdr:cNvPr>
        <xdr:cNvSpPr txBox="1"/>
      </xdr:nvSpPr>
      <xdr:spPr>
        <a:xfrm>
          <a:off x="2148840" y="632460"/>
          <a:ext cx="914400" cy="32004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251AD2-9E44-4187-A0B7-FD6E00EA89FF}" type="TxLink">
            <a:rPr lang="en-US" sz="1100" b="1" i="0" u="none" strike="noStrike">
              <a:solidFill>
                <a:srgbClr val="000000"/>
              </a:solidFill>
              <a:latin typeface="Calibri"/>
              <a:ea typeface="Calibri"/>
              <a:cs typeface="Calibri"/>
            </a:rPr>
            <a:pPr algn="ctr"/>
            <a:t>425300</a:t>
          </a:fld>
          <a:endParaRPr lang="en-IN" sz="1100" b="1"/>
        </a:p>
      </xdr:txBody>
    </xdr:sp>
    <xdr:clientData/>
  </xdr:twoCellAnchor>
  <xdr:twoCellAnchor>
    <xdr:from>
      <xdr:col>5</xdr:col>
      <xdr:colOff>304800</xdr:colOff>
      <xdr:row>1</xdr:row>
      <xdr:rowOff>83820</xdr:rowOff>
    </xdr:from>
    <xdr:to>
      <xdr:col>7</xdr:col>
      <xdr:colOff>472440</xdr:colOff>
      <xdr:row>6</xdr:row>
      <xdr:rowOff>76200</xdr:rowOff>
    </xdr:to>
    <xdr:sp macro="" textlink="">
      <xdr:nvSpPr>
        <xdr:cNvPr id="12" name="Rectangle: Rounded Corners 11">
          <a:extLst>
            <a:ext uri="{FF2B5EF4-FFF2-40B4-BE49-F238E27FC236}">
              <a16:creationId xmlns:a16="http://schemas.microsoft.com/office/drawing/2014/main" id="{0D78333E-00C4-C4F4-898B-6B3377FCBE02}"/>
            </a:ext>
          </a:extLst>
        </xdr:cNvPr>
        <xdr:cNvSpPr/>
      </xdr:nvSpPr>
      <xdr:spPr>
        <a:xfrm>
          <a:off x="3352800" y="411480"/>
          <a:ext cx="1386840" cy="9067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baseline="0">
            <a:solidFill>
              <a:schemeClr val="tx1"/>
            </a:solidFill>
          </a:endParaRPr>
        </a:p>
      </xdr:txBody>
    </xdr:sp>
    <xdr:clientData/>
  </xdr:twoCellAnchor>
  <xdr:twoCellAnchor>
    <xdr:from>
      <xdr:col>5</xdr:col>
      <xdr:colOff>525780</xdr:colOff>
      <xdr:row>1</xdr:row>
      <xdr:rowOff>91440</xdr:rowOff>
    </xdr:from>
    <xdr:to>
      <xdr:col>7</xdr:col>
      <xdr:colOff>312420</xdr:colOff>
      <xdr:row>2</xdr:row>
      <xdr:rowOff>106680</xdr:rowOff>
    </xdr:to>
    <xdr:sp macro="" textlink="">
      <xdr:nvSpPr>
        <xdr:cNvPr id="15" name="TextBox 14">
          <a:extLst>
            <a:ext uri="{FF2B5EF4-FFF2-40B4-BE49-F238E27FC236}">
              <a16:creationId xmlns:a16="http://schemas.microsoft.com/office/drawing/2014/main" id="{5284B0CD-E480-4E37-EB90-023A9CD3C812}"/>
            </a:ext>
          </a:extLst>
        </xdr:cNvPr>
        <xdr:cNvSpPr txBox="1"/>
      </xdr:nvSpPr>
      <xdr:spPr>
        <a:xfrm>
          <a:off x="3573780" y="419100"/>
          <a:ext cx="10058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Budget</a:t>
          </a:r>
          <a:endParaRPr lang="en-IN" sz="1100" b="1"/>
        </a:p>
      </xdr:txBody>
    </xdr:sp>
    <xdr:clientData/>
  </xdr:twoCellAnchor>
  <xdr:twoCellAnchor editAs="oneCell">
    <xdr:from>
      <xdr:col>5</xdr:col>
      <xdr:colOff>411480</xdr:colOff>
      <xdr:row>4</xdr:row>
      <xdr:rowOff>121920</xdr:rowOff>
    </xdr:from>
    <xdr:to>
      <xdr:col>7</xdr:col>
      <xdr:colOff>373380</xdr:colOff>
      <xdr:row>6</xdr:row>
      <xdr:rowOff>15240</xdr:rowOff>
    </xdr:to>
    <xdr:pic>
      <xdr:nvPicPr>
        <xdr:cNvPr id="18" name="Picture 17">
          <a:extLst>
            <a:ext uri="{FF2B5EF4-FFF2-40B4-BE49-F238E27FC236}">
              <a16:creationId xmlns:a16="http://schemas.microsoft.com/office/drawing/2014/main" id="{99400923-9BE2-7F98-52FF-8B02AC03685E}"/>
            </a:ext>
          </a:extLst>
        </xdr:cNvPr>
        <xdr:cNvPicPr>
          <a:picLocks noChangeAspect="1" noChangeArrowheads="1"/>
        </xdr:cNvPicPr>
      </xdr:nvPicPr>
      <xdr:blipFill>
        <a:blip xmlns:r="http://schemas.openxmlformats.org/officeDocument/2006/relationships" r:embed="rId2">
          <a:lum contrast="40000"/>
          <a:extLst>
            <a:ext uri="{28A0092B-C50C-407E-A947-70E740481C1C}">
              <a14:useLocalDpi xmlns:a14="http://schemas.microsoft.com/office/drawing/2010/main" val="0"/>
            </a:ext>
          </a:extLst>
        </a:blip>
        <a:srcRect/>
        <a:stretch>
          <a:fillRect/>
        </a:stretch>
      </xdr:blipFill>
      <xdr:spPr bwMode="auto">
        <a:xfrm>
          <a:off x="3459480" y="998220"/>
          <a:ext cx="1181100" cy="259080"/>
        </a:xfrm>
        <a:prstGeom prst="rect">
          <a:avLst/>
        </a:prstGeom>
        <a:solidFill>
          <a:schemeClr val="bg1"/>
        </a:solidFill>
        <a:ln>
          <a:noFill/>
        </a:ln>
      </xdr:spPr>
    </xdr:pic>
    <xdr:clientData/>
  </xdr:twoCellAnchor>
  <xdr:twoCellAnchor>
    <xdr:from>
      <xdr:col>5</xdr:col>
      <xdr:colOff>495300</xdr:colOff>
      <xdr:row>2</xdr:row>
      <xdr:rowOff>137160</xdr:rowOff>
    </xdr:from>
    <xdr:to>
      <xdr:col>7</xdr:col>
      <xdr:colOff>182880</xdr:colOff>
      <xdr:row>4</xdr:row>
      <xdr:rowOff>99060</xdr:rowOff>
    </xdr:to>
    <xdr:sp macro="" textlink="'Expense Data'!$I$33">
      <xdr:nvSpPr>
        <xdr:cNvPr id="17" name="TextBox 16">
          <a:extLst>
            <a:ext uri="{FF2B5EF4-FFF2-40B4-BE49-F238E27FC236}">
              <a16:creationId xmlns:a16="http://schemas.microsoft.com/office/drawing/2014/main" id="{8DFA081F-49B6-0075-FB72-7B70BD052907}"/>
            </a:ext>
          </a:extLst>
        </xdr:cNvPr>
        <xdr:cNvSpPr txBox="1"/>
      </xdr:nvSpPr>
      <xdr:spPr>
        <a:xfrm>
          <a:off x="3543300" y="647700"/>
          <a:ext cx="906780" cy="32766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6A326D-F246-486E-B812-D1C92A911B91}" type="TxLink">
            <a:rPr lang="en-US" sz="1100" b="1" i="0" u="none" strike="noStrike">
              <a:solidFill>
                <a:srgbClr val="000000"/>
              </a:solidFill>
              <a:latin typeface="Calibri"/>
              <a:ea typeface="Calibri"/>
              <a:cs typeface="Calibri"/>
            </a:rPr>
            <a:pPr algn="ctr"/>
            <a:t>438000</a:t>
          </a:fld>
          <a:endParaRPr lang="en-IN" sz="1100"/>
        </a:p>
      </xdr:txBody>
    </xdr:sp>
    <xdr:clientData/>
  </xdr:twoCellAnchor>
  <xdr:twoCellAnchor>
    <xdr:from>
      <xdr:col>7</xdr:col>
      <xdr:colOff>556260</xdr:colOff>
      <xdr:row>1</xdr:row>
      <xdr:rowOff>83820</xdr:rowOff>
    </xdr:from>
    <xdr:to>
      <xdr:col>10</xdr:col>
      <xdr:colOff>129540</xdr:colOff>
      <xdr:row>6</xdr:row>
      <xdr:rowOff>83820</xdr:rowOff>
    </xdr:to>
    <xdr:sp macro="" textlink="">
      <xdr:nvSpPr>
        <xdr:cNvPr id="19" name="Rectangle: Rounded Corners 18">
          <a:extLst>
            <a:ext uri="{FF2B5EF4-FFF2-40B4-BE49-F238E27FC236}">
              <a16:creationId xmlns:a16="http://schemas.microsoft.com/office/drawing/2014/main" id="{463ECDB5-98EA-9D69-00CC-A78F4AFCFDBB}"/>
            </a:ext>
          </a:extLst>
        </xdr:cNvPr>
        <xdr:cNvSpPr/>
      </xdr:nvSpPr>
      <xdr:spPr>
        <a:xfrm>
          <a:off x="4823460" y="411480"/>
          <a:ext cx="1402080" cy="914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144780</xdr:colOff>
      <xdr:row>1</xdr:row>
      <xdr:rowOff>106680</xdr:rowOff>
    </xdr:from>
    <xdr:to>
      <xdr:col>9</xdr:col>
      <xdr:colOff>579120</xdr:colOff>
      <xdr:row>2</xdr:row>
      <xdr:rowOff>129540</xdr:rowOff>
    </xdr:to>
    <xdr:sp macro="" textlink="">
      <xdr:nvSpPr>
        <xdr:cNvPr id="20" name="TextBox 19">
          <a:extLst>
            <a:ext uri="{FF2B5EF4-FFF2-40B4-BE49-F238E27FC236}">
              <a16:creationId xmlns:a16="http://schemas.microsoft.com/office/drawing/2014/main" id="{6DEE6485-23ED-7363-ECE1-068491B5E770}"/>
            </a:ext>
          </a:extLst>
        </xdr:cNvPr>
        <xdr:cNvSpPr txBox="1"/>
      </xdr:nvSpPr>
      <xdr:spPr>
        <a:xfrm>
          <a:off x="5021580" y="441960"/>
          <a:ext cx="104394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Variance</a:t>
          </a:r>
          <a:endParaRPr lang="en-IN" sz="1100" b="1"/>
        </a:p>
      </xdr:txBody>
    </xdr:sp>
    <xdr:clientData/>
  </xdr:twoCellAnchor>
  <xdr:twoCellAnchor>
    <xdr:from>
      <xdr:col>8</xdr:col>
      <xdr:colOff>160020</xdr:colOff>
      <xdr:row>2</xdr:row>
      <xdr:rowOff>144780</xdr:rowOff>
    </xdr:from>
    <xdr:to>
      <xdr:col>9</xdr:col>
      <xdr:colOff>548640</xdr:colOff>
      <xdr:row>4</xdr:row>
      <xdr:rowOff>76200</xdr:rowOff>
    </xdr:to>
    <xdr:sp macro="" textlink="'Expense Data'!$J$33">
      <xdr:nvSpPr>
        <xdr:cNvPr id="21" name="TextBox 20">
          <a:extLst>
            <a:ext uri="{FF2B5EF4-FFF2-40B4-BE49-F238E27FC236}">
              <a16:creationId xmlns:a16="http://schemas.microsoft.com/office/drawing/2014/main" id="{CC9F7FD1-939F-00DB-189B-85EA570F0164}"/>
            </a:ext>
          </a:extLst>
        </xdr:cNvPr>
        <xdr:cNvSpPr txBox="1"/>
      </xdr:nvSpPr>
      <xdr:spPr>
        <a:xfrm>
          <a:off x="5036820" y="662940"/>
          <a:ext cx="998220" cy="29718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5F66D-459C-4181-8C71-C24982943238}" type="TxLink">
            <a:rPr lang="en-US" sz="1100" b="1" i="0" u="none" strike="noStrike">
              <a:solidFill>
                <a:srgbClr val="000000"/>
              </a:solidFill>
              <a:latin typeface="Calibri"/>
              <a:ea typeface="Calibri"/>
              <a:cs typeface="Calibri"/>
            </a:rPr>
            <a:pPr algn="ctr"/>
            <a:t>12700</a:t>
          </a:fld>
          <a:endParaRPr lang="en-IN" sz="1100"/>
        </a:p>
      </xdr:txBody>
    </xdr:sp>
    <xdr:clientData/>
  </xdr:twoCellAnchor>
  <xdr:twoCellAnchor editAs="oneCell">
    <xdr:from>
      <xdr:col>8</xdr:col>
      <xdr:colOff>45720</xdr:colOff>
      <xdr:row>4</xdr:row>
      <xdr:rowOff>167640</xdr:rowOff>
    </xdr:from>
    <xdr:to>
      <xdr:col>10</xdr:col>
      <xdr:colOff>0</xdr:colOff>
      <xdr:row>6</xdr:row>
      <xdr:rowOff>53340</xdr:rowOff>
    </xdr:to>
    <xdr:pic>
      <xdr:nvPicPr>
        <xdr:cNvPr id="22" name="Picture 21">
          <a:extLst>
            <a:ext uri="{FF2B5EF4-FFF2-40B4-BE49-F238E27FC236}">
              <a16:creationId xmlns:a16="http://schemas.microsoft.com/office/drawing/2014/main" id="{C31CEAB1-A106-142D-DFF5-BD7CC5AAA9A0}"/>
            </a:ext>
          </a:extLst>
        </xdr:cNvPr>
        <xdr:cNvPicPr>
          <a:picLocks noChangeAspect="1" noChangeArrowheads="1"/>
        </xdr:cNvPicPr>
      </xdr:nvPicPr>
      <xdr:blipFill>
        <a:blip xmlns:r="http://schemas.openxmlformats.org/officeDocument/2006/relationships" r:embed="rId3">
          <a:lum contrast="20000"/>
          <a:extLst>
            <a:ext uri="{28A0092B-C50C-407E-A947-70E740481C1C}">
              <a14:useLocalDpi xmlns:a14="http://schemas.microsoft.com/office/drawing/2010/main" val="0"/>
            </a:ext>
          </a:extLst>
        </a:blip>
        <a:srcRect/>
        <a:stretch>
          <a:fillRect/>
        </a:stretch>
      </xdr:blipFill>
      <xdr:spPr bwMode="auto">
        <a:xfrm>
          <a:off x="4922520" y="1043940"/>
          <a:ext cx="1173480" cy="25146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106680</xdr:colOff>
      <xdr:row>7</xdr:row>
      <xdr:rowOff>38100</xdr:rowOff>
    </xdr:from>
    <xdr:to>
      <xdr:col>10</xdr:col>
      <xdr:colOff>144780</xdr:colOff>
      <xdr:row>20</xdr:row>
      <xdr:rowOff>137160</xdr:rowOff>
    </xdr:to>
    <xdr:graphicFrame macro="">
      <xdr:nvGraphicFramePr>
        <xdr:cNvPr id="23" name="Chart 22">
          <a:extLst>
            <a:ext uri="{FF2B5EF4-FFF2-40B4-BE49-F238E27FC236}">
              <a16:creationId xmlns:a16="http://schemas.microsoft.com/office/drawing/2014/main" id="{60F39BFA-4868-401B-B538-13BE71004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228600</xdr:colOff>
      <xdr:row>1</xdr:row>
      <xdr:rowOff>53340</xdr:rowOff>
    </xdr:from>
    <xdr:to>
      <xdr:col>17</xdr:col>
      <xdr:colOff>114300</xdr:colOff>
      <xdr:row>14</xdr:row>
      <xdr:rowOff>160020</xdr:rowOff>
    </xdr:to>
    <xdr:graphicFrame macro="">
      <xdr:nvGraphicFramePr>
        <xdr:cNvPr id="24" name="Chart 23">
          <a:extLst>
            <a:ext uri="{FF2B5EF4-FFF2-40B4-BE49-F238E27FC236}">
              <a16:creationId xmlns:a16="http://schemas.microsoft.com/office/drawing/2014/main" id="{21C553AB-8EBD-4DC4-ACFA-E0F00CC1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236220</xdr:colOff>
      <xdr:row>15</xdr:row>
      <xdr:rowOff>22860</xdr:rowOff>
    </xdr:from>
    <xdr:to>
      <xdr:col>17</xdr:col>
      <xdr:colOff>106680</xdr:colOff>
      <xdr:row>30</xdr:row>
      <xdr:rowOff>99060</xdr:rowOff>
    </xdr:to>
    <xdr:graphicFrame macro="">
      <xdr:nvGraphicFramePr>
        <xdr:cNvPr id="25" name="Chart 24">
          <a:extLst>
            <a:ext uri="{FF2B5EF4-FFF2-40B4-BE49-F238E27FC236}">
              <a16:creationId xmlns:a16="http://schemas.microsoft.com/office/drawing/2014/main" id="{F534CC56-C85D-4078-A218-EFD1E73D9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152400</xdr:colOff>
      <xdr:row>1</xdr:row>
      <xdr:rowOff>45720</xdr:rowOff>
    </xdr:from>
    <xdr:to>
      <xdr:col>23</xdr:col>
      <xdr:colOff>152400</xdr:colOff>
      <xdr:row>9</xdr:row>
      <xdr:rowOff>68580</xdr:rowOff>
    </xdr:to>
    <xdr:graphicFrame macro="">
      <xdr:nvGraphicFramePr>
        <xdr:cNvPr id="26" name="Chart 25">
          <a:extLst>
            <a:ext uri="{FF2B5EF4-FFF2-40B4-BE49-F238E27FC236}">
              <a16:creationId xmlns:a16="http://schemas.microsoft.com/office/drawing/2014/main" id="{F7DE7682-A6EA-4E79-95EB-6084A108C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9</xdr:row>
      <xdr:rowOff>106680</xdr:rowOff>
    </xdr:from>
    <xdr:to>
      <xdr:col>23</xdr:col>
      <xdr:colOff>144780</xdr:colOff>
      <xdr:row>17</xdr:row>
      <xdr:rowOff>160020</xdr:rowOff>
    </xdr:to>
    <xdr:graphicFrame macro="">
      <xdr:nvGraphicFramePr>
        <xdr:cNvPr id="27" name="Chart 26">
          <a:extLst>
            <a:ext uri="{FF2B5EF4-FFF2-40B4-BE49-F238E27FC236}">
              <a16:creationId xmlns:a16="http://schemas.microsoft.com/office/drawing/2014/main" id="{4BF7EEDF-1D80-4E0A-BD0D-08991A1C7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137160</xdr:colOff>
      <xdr:row>18</xdr:row>
      <xdr:rowOff>38100</xdr:rowOff>
    </xdr:from>
    <xdr:to>
      <xdr:col>23</xdr:col>
      <xdr:colOff>175260</xdr:colOff>
      <xdr:row>30</xdr:row>
      <xdr:rowOff>106680</xdr:rowOff>
    </xdr:to>
    <xdr:graphicFrame macro="">
      <xdr:nvGraphicFramePr>
        <xdr:cNvPr id="28" name="Chart 27">
          <a:extLst>
            <a:ext uri="{FF2B5EF4-FFF2-40B4-BE49-F238E27FC236}">
              <a16:creationId xmlns:a16="http://schemas.microsoft.com/office/drawing/2014/main" id="{8FDACAD7-85E6-4A05-9BED-DAD40A632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30480</xdr:colOff>
      <xdr:row>1</xdr:row>
      <xdr:rowOff>106681</xdr:rowOff>
    </xdr:from>
    <xdr:to>
      <xdr:col>3</xdr:col>
      <xdr:colOff>30480</xdr:colOff>
      <xdr:row>8</xdr:row>
      <xdr:rowOff>68581</xdr:rowOff>
    </xdr:to>
    <mc:AlternateContent xmlns:mc="http://schemas.openxmlformats.org/markup-compatibility/2006">
      <mc:Choice xmlns:a14="http://schemas.microsoft.com/office/drawing/2010/main" Requires="a14">
        <xdr:graphicFrame macro="">
          <xdr:nvGraphicFramePr>
            <xdr:cNvPr id="29" name="Month">
              <a:extLst>
                <a:ext uri="{FF2B5EF4-FFF2-40B4-BE49-F238E27FC236}">
                  <a16:creationId xmlns:a16="http://schemas.microsoft.com/office/drawing/2014/main" id="{6B236529-D399-56C7-65F2-B5E844F1AEF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0480" y="44196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8</xdr:row>
      <xdr:rowOff>167641</xdr:rowOff>
    </xdr:from>
    <xdr:to>
      <xdr:col>3</xdr:col>
      <xdr:colOff>30480</xdr:colOff>
      <xdr:row>18</xdr:row>
      <xdr:rowOff>60961</xdr:rowOff>
    </xdr:to>
    <mc:AlternateContent xmlns:mc="http://schemas.openxmlformats.org/markup-compatibility/2006" xmlns:a14="http://schemas.microsoft.com/office/drawing/2010/main">
      <mc:Choice Requires="a14">
        <xdr:graphicFrame macro="">
          <xdr:nvGraphicFramePr>
            <xdr:cNvPr id="30" name="Department">
              <a:extLst>
                <a:ext uri="{FF2B5EF4-FFF2-40B4-BE49-F238E27FC236}">
                  <a16:creationId xmlns:a16="http://schemas.microsoft.com/office/drawing/2014/main" id="{C06E100A-D532-176C-DE1A-378A8238334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480" y="178308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18</xdr:row>
      <xdr:rowOff>144781</xdr:rowOff>
    </xdr:from>
    <xdr:to>
      <xdr:col>3</xdr:col>
      <xdr:colOff>22860</xdr:colOff>
      <xdr:row>30</xdr:row>
      <xdr:rowOff>83821</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48862BC2-BCDA-CF93-3DC8-9BB5284DF97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3589021"/>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21</xdr:row>
      <xdr:rowOff>30481</xdr:rowOff>
    </xdr:from>
    <xdr:to>
      <xdr:col>10</xdr:col>
      <xdr:colOff>144780</xdr:colOff>
      <xdr:row>30</xdr:row>
      <xdr:rowOff>99061</xdr:rowOff>
    </xdr:to>
    <mc:AlternateContent xmlns:mc="http://schemas.openxmlformats.org/markup-compatibility/2006" xmlns:a14="http://schemas.microsoft.com/office/drawing/2010/main">
      <mc:Choice Requires="a14">
        <xdr:graphicFrame macro="">
          <xdr:nvGraphicFramePr>
            <xdr:cNvPr id="32" name="Vendor">
              <a:extLst>
                <a:ext uri="{FF2B5EF4-FFF2-40B4-BE49-F238E27FC236}">
                  <a16:creationId xmlns:a16="http://schemas.microsoft.com/office/drawing/2014/main" id="{B6FD2525-D270-DDF7-AADE-755CFB734EAE}"/>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1943100" y="4023361"/>
              <a:ext cx="429768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205740</xdr:colOff>
      <xdr:row>1</xdr:row>
      <xdr:rowOff>114300</xdr:rowOff>
    </xdr:from>
    <xdr:to>
      <xdr:col>10</xdr:col>
      <xdr:colOff>510540</xdr:colOff>
      <xdr:row>16</xdr:row>
      <xdr:rowOff>114300</xdr:rowOff>
    </xdr:to>
    <xdr:graphicFrame macro="">
      <xdr:nvGraphicFramePr>
        <xdr:cNvPr id="2" name="Chart 1">
          <a:extLst>
            <a:ext uri="{FF2B5EF4-FFF2-40B4-BE49-F238E27FC236}">
              <a16:creationId xmlns:a16="http://schemas.microsoft.com/office/drawing/2014/main" id="{A4F5BB0F-3599-0E99-CAE5-1AE0691D7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160020</xdr:rowOff>
    </xdr:from>
    <xdr:to>
      <xdr:col>10</xdr:col>
      <xdr:colOff>312420</xdr:colOff>
      <xdr:row>16</xdr:row>
      <xdr:rowOff>160020</xdr:rowOff>
    </xdr:to>
    <xdr:graphicFrame macro="">
      <xdr:nvGraphicFramePr>
        <xdr:cNvPr id="2" name="Chart 1">
          <a:extLst>
            <a:ext uri="{FF2B5EF4-FFF2-40B4-BE49-F238E27FC236}">
              <a16:creationId xmlns:a16="http://schemas.microsoft.com/office/drawing/2014/main" id="{8AB0B1B7-8027-76B0-31D0-5190933E3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1</xdr:row>
      <xdr:rowOff>15240</xdr:rowOff>
    </xdr:from>
    <xdr:to>
      <xdr:col>10</xdr:col>
      <xdr:colOff>571500</xdr:colOff>
      <xdr:row>16</xdr:row>
      <xdr:rowOff>15240</xdr:rowOff>
    </xdr:to>
    <xdr:graphicFrame macro="">
      <xdr:nvGraphicFramePr>
        <xdr:cNvPr id="2" name="Chart 1">
          <a:extLst>
            <a:ext uri="{FF2B5EF4-FFF2-40B4-BE49-F238E27FC236}">
              <a16:creationId xmlns:a16="http://schemas.microsoft.com/office/drawing/2014/main" id="{5010E42A-FD5F-70E4-0A39-2F551E88C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533400</xdr:colOff>
      <xdr:row>1</xdr:row>
      <xdr:rowOff>129540</xdr:rowOff>
    </xdr:from>
    <xdr:to>
      <xdr:col>10</xdr:col>
      <xdr:colOff>228600</xdr:colOff>
      <xdr:row>16</xdr:row>
      <xdr:rowOff>129540</xdr:rowOff>
    </xdr:to>
    <xdr:graphicFrame macro="">
      <xdr:nvGraphicFramePr>
        <xdr:cNvPr id="2" name="Chart 1">
          <a:extLst>
            <a:ext uri="{FF2B5EF4-FFF2-40B4-BE49-F238E27FC236}">
              <a16:creationId xmlns:a16="http://schemas.microsoft.com/office/drawing/2014/main" id="{633B11AE-CA75-FFCF-6080-ADA2F4630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1</xdr:row>
      <xdr:rowOff>68580</xdr:rowOff>
    </xdr:from>
    <xdr:to>
      <xdr:col>10</xdr:col>
      <xdr:colOff>76200</xdr:colOff>
      <xdr:row>16</xdr:row>
      <xdr:rowOff>68580</xdr:rowOff>
    </xdr:to>
    <xdr:graphicFrame macro="">
      <xdr:nvGraphicFramePr>
        <xdr:cNvPr id="2" name="Chart 1">
          <a:extLst>
            <a:ext uri="{FF2B5EF4-FFF2-40B4-BE49-F238E27FC236}">
              <a16:creationId xmlns:a16="http://schemas.microsoft.com/office/drawing/2014/main" id="{AC3A22C2-E53F-5559-CA6D-6074653CC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137160</xdr:colOff>
      <xdr:row>5</xdr:row>
      <xdr:rowOff>0</xdr:rowOff>
    </xdr:from>
    <xdr:to>
      <xdr:col>11</xdr:col>
      <xdr:colOff>441960</xdr:colOff>
      <xdr:row>20</xdr:row>
      <xdr:rowOff>0</xdr:rowOff>
    </xdr:to>
    <xdr:graphicFrame macro="">
      <xdr:nvGraphicFramePr>
        <xdr:cNvPr id="3" name="Chart 2">
          <a:extLst>
            <a:ext uri="{FF2B5EF4-FFF2-40B4-BE49-F238E27FC236}">
              <a16:creationId xmlns:a16="http://schemas.microsoft.com/office/drawing/2014/main" id="{733984D7-04CE-DF61-63EB-E68E7F910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refreshedDate="45964.587374537034" createdVersion="8" refreshedVersion="8" minRefreshableVersion="3" recordCount="30" xr:uid="{0ADA1AC7-6374-45EB-9465-EA320D212172}">
  <cacheSource type="worksheet">
    <worksheetSource ref="A1:K31" sheet="Expense Data"/>
  </cacheSource>
  <cacheFields count="11">
    <cacheField name="Date" numFmtId="14">
      <sharedItems containsSemiMixedTypes="0" containsNonDate="0" containsDate="1" containsString="0" minDate="2025-01-02T00:00:00" maxDate="2025-04-01T00:00:00"/>
    </cacheField>
    <cacheField name="Month" numFmtId="0">
      <sharedItems count="3">
        <s v="January"/>
        <s v="February"/>
        <s v="March"/>
      </sharedItems>
    </cacheField>
    <cacheField name="Department" numFmtId="0">
      <sharedItems count="5">
        <s v="HR"/>
        <s v="IT"/>
        <s v="Marketing"/>
        <s v="Finance"/>
        <s v="Operations"/>
      </sharedItems>
    </cacheField>
    <cacheField name="Category" numFmtId="0">
      <sharedItems count="12">
        <s v="Training"/>
        <s v="Software"/>
        <s v="Advertising"/>
        <s v="Utilities"/>
        <s v="Travel"/>
        <s v="Hardware"/>
        <s v="Salaries"/>
        <s v="Events"/>
        <s v="Stationery"/>
        <s v="Maintenance"/>
        <s v="Recruitment"/>
        <s v="Printing"/>
      </sharedItems>
    </cacheField>
    <cacheField name="Expense Description" numFmtId="0">
      <sharedItems/>
    </cacheField>
    <cacheField name="Payment Method" numFmtId="0">
      <sharedItems count="5">
        <s v="UPI"/>
        <s v="Card"/>
        <s v="Online"/>
        <s v="Bank Transfer"/>
        <s v="Cash"/>
      </sharedItems>
    </cacheField>
    <cacheField name="Vendor" numFmtId="0">
      <sharedItems count="25">
        <s v="SkillUp"/>
        <s v="Norton"/>
        <s v="Google"/>
        <s v="Tata Power"/>
        <s v="HP Petrol"/>
        <s v="Dell"/>
        <s v="Local Vendor"/>
        <s v="EventPro"/>
        <s v="OfficeMart"/>
        <s v="FixIt"/>
        <s v="Naukri"/>
        <s v="Google Cloud"/>
        <s v="Meta"/>
        <s v="BMC"/>
        <s v="Ola"/>
        <s v="HP"/>
        <s v="Coursera"/>
        <s v="ExpoMart"/>
        <s v="Zoho"/>
        <s v="Airtel"/>
        <s v="PrintWorld"/>
        <s v="CollegeFair"/>
        <s v="DTDC"/>
        <s v="Tally"/>
        <s v="InstaPromote"/>
      </sharedItems>
    </cacheField>
    <cacheField name="Expense (₹)" numFmtId="0">
      <sharedItems containsSemiMixedTypes="0" containsString="0" containsNumber="1" containsInteger="1" minValue="1800" maxValue="55000"/>
    </cacheField>
    <cacheField name="Budget (₹)" numFmtId="0">
      <sharedItems containsSemiMixedTypes="0" containsString="0" containsNumber="1" containsInteger="1" minValue="2000" maxValue="50000"/>
    </cacheField>
    <cacheField name="Variance (₹)" numFmtId="0">
      <sharedItems containsSemiMixedTypes="0" containsString="0" containsNumber="1" containsInteger="1" minValue="-5000" maxValue="5000"/>
    </cacheField>
    <cacheField name="Status" numFmtId="0">
      <sharedItems count="2">
        <s v="Within Budget"/>
        <s v="Over Budget"/>
      </sharedItems>
    </cacheField>
  </cacheFields>
  <extLst>
    <ext xmlns:x14="http://schemas.microsoft.com/office/spreadsheetml/2009/9/main" uri="{725AE2AE-9491-48be-B2B4-4EB974FC3084}">
      <x14:pivotCacheDefinition pivotCacheId="2114764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5-01-02T00:00:00"/>
    <x v="0"/>
    <x v="0"/>
    <x v="0"/>
    <s v="Employee Workshop"/>
    <x v="0"/>
    <x v="0"/>
    <n v="15000"/>
    <n v="20000"/>
    <n v="5000"/>
    <x v="0"/>
  </r>
  <r>
    <d v="2025-01-05T00:00:00"/>
    <x v="0"/>
    <x v="1"/>
    <x v="1"/>
    <s v="Antivirus License"/>
    <x v="1"/>
    <x v="1"/>
    <n v="7000"/>
    <n v="6000"/>
    <n v="-1000"/>
    <x v="1"/>
  </r>
  <r>
    <d v="2025-01-07T00:00:00"/>
    <x v="0"/>
    <x v="2"/>
    <x v="2"/>
    <s v="Google Ads"/>
    <x v="2"/>
    <x v="2"/>
    <n v="25000"/>
    <n v="30000"/>
    <n v="5000"/>
    <x v="0"/>
  </r>
  <r>
    <d v="2025-01-10T00:00:00"/>
    <x v="0"/>
    <x v="3"/>
    <x v="3"/>
    <s v="Office Electricity Bill"/>
    <x v="3"/>
    <x v="3"/>
    <n v="9000"/>
    <n v="9500"/>
    <n v="500"/>
    <x v="0"/>
  </r>
  <r>
    <d v="2025-01-14T00:00:00"/>
    <x v="0"/>
    <x v="4"/>
    <x v="4"/>
    <s v="Delivery Vehicle Fuel"/>
    <x v="1"/>
    <x v="4"/>
    <n v="12000"/>
    <n v="10000"/>
    <n v="-2000"/>
    <x v="1"/>
  </r>
  <r>
    <d v="2025-01-18T00:00:00"/>
    <x v="0"/>
    <x v="1"/>
    <x v="5"/>
    <s v="Printer Purchase"/>
    <x v="1"/>
    <x v="5"/>
    <n v="18000"/>
    <n v="20000"/>
    <n v="2000"/>
    <x v="0"/>
  </r>
  <r>
    <d v="2025-01-22T00:00:00"/>
    <x v="0"/>
    <x v="0"/>
    <x v="6"/>
    <s v="Contract Staff Payment"/>
    <x v="3"/>
    <x v="6"/>
    <n v="30000"/>
    <n v="30000"/>
    <n v="0"/>
    <x v="0"/>
  </r>
  <r>
    <d v="2025-01-25T00:00:00"/>
    <x v="0"/>
    <x v="2"/>
    <x v="7"/>
    <s v="Product Launch"/>
    <x v="2"/>
    <x v="7"/>
    <n v="40000"/>
    <n v="35000"/>
    <n v="-5000"/>
    <x v="1"/>
  </r>
  <r>
    <d v="2025-01-28T00:00:00"/>
    <x v="0"/>
    <x v="3"/>
    <x v="8"/>
    <s v="Account Books"/>
    <x v="4"/>
    <x v="8"/>
    <n v="2500"/>
    <n v="3000"/>
    <n v="500"/>
    <x v="0"/>
  </r>
  <r>
    <d v="2025-01-31T00:00:00"/>
    <x v="0"/>
    <x v="4"/>
    <x v="9"/>
    <s v="Equipment Repair"/>
    <x v="0"/>
    <x v="9"/>
    <n v="7000"/>
    <n v="6000"/>
    <n v="-1000"/>
    <x v="1"/>
  </r>
  <r>
    <d v="2025-02-03T00:00:00"/>
    <x v="1"/>
    <x v="0"/>
    <x v="10"/>
    <s v="Job Portal Subscription"/>
    <x v="2"/>
    <x v="10"/>
    <n v="8000"/>
    <n v="10000"/>
    <n v="2000"/>
    <x v="0"/>
  </r>
  <r>
    <d v="2025-02-06T00:00:00"/>
    <x v="1"/>
    <x v="1"/>
    <x v="1"/>
    <s v="Cloud Storage"/>
    <x v="2"/>
    <x v="11"/>
    <n v="12000"/>
    <n v="12000"/>
    <n v="0"/>
    <x v="0"/>
  </r>
  <r>
    <d v="2025-02-09T00:00:00"/>
    <x v="1"/>
    <x v="2"/>
    <x v="2"/>
    <s v="Facebook Ads"/>
    <x v="2"/>
    <x v="12"/>
    <n v="20000"/>
    <n v="18000"/>
    <n v="-2000"/>
    <x v="1"/>
  </r>
  <r>
    <d v="2025-02-12T00:00:00"/>
    <x v="1"/>
    <x v="3"/>
    <x v="3"/>
    <s v="Water Bill"/>
    <x v="3"/>
    <x v="13"/>
    <n v="3500"/>
    <n v="4000"/>
    <n v="500"/>
    <x v="0"/>
  </r>
  <r>
    <d v="2025-02-16T00:00:00"/>
    <x v="1"/>
    <x v="4"/>
    <x v="4"/>
    <s v="Transport for Delivery"/>
    <x v="0"/>
    <x v="14"/>
    <n v="9000"/>
    <n v="8500"/>
    <n v="-500"/>
    <x v="1"/>
  </r>
  <r>
    <d v="2025-02-19T00:00:00"/>
    <x v="1"/>
    <x v="1"/>
    <x v="5"/>
    <s v="Laptop Purchase"/>
    <x v="1"/>
    <x v="15"/>
    <n v="55000"/>
    <n v="50000"/>
    <n v="-5000"/>
    <x v="1"/>
  </r>
  <r>
    <d v="2025-02-23T00:00:00"/>
    <x v="1"/>
    <x v="0"/>
    <x v="0"/>
    <s v="Leadership Session"/>
    <x v="0"/>
    <x v="16"/>
    <n v="10000"/>
    <n v="15000"/>
    <n v="5000"/>
    <x v="0"/>
  </r>
  <r>
    <d v="2025-02-27T00:00:00"/>
    <x v="1"/>
    <x v="2"/>
    <x v="7"/>
    <s v="Trade Show Stall"/>
    <x v="2"/>
    <x v="17"/>
    <n v="30000"/>
    <n v="28000"/>
    <n v="-2000"/>
    <x v="1"/>
  </r>
  <r>
    <d v="2025-03-01T00:00:00"/>
    <x v="2"/>
    <x v="3"/>
    <x v="8"/>
    <s v="Files &amp; Folders"/>
    <x v="4"/>
    <x v="8"/>
    <n v="1800"/>
    <n v="2000"/>
    <n v="200"/>
    <x v="0"/>
  </r>
  <r>
    <d v="2025-03-04T00:00:00"/>
    <x v="2"/>
    <x v="1"/>
    <x v="1"/>
    <s v="CRM Subscription"/>
    <x v="2"/>
    <x v="18"/>
    <n v="10000"/>
    <n v="12000"/>
    <n v="2000"/>
    <x v="0"/>
  </r>
  <r>
    <d v="2025-03-07T00:00:00"/>
    <x v="2"/>
    <x v="2"/>
    <x v="2"/>
    <s v="YouTube Ads"/>
    <x v="2"/>
    <x v="2"/>
    <n v="15000"/>
    <n v="18000"/>
    <n v="3000"/>
    <x v="0"/>
  </r>
  <r>
    <d v="2025-03-10T00:00:00"/>
    <x v="2"/>
    <x v="0"/>
    <x v="6"/>
    <s v="Intern Stipends"/>
    <x v="3"/>
    <x v="6"/>
    <n v="12000"/>
    <n v="15000"/>
    <n v="3000"/>
    <x v="0"/>
  </r>
  <r>
    <d v="2025-03-13T00:00:00"/>
    <x v="2"/>
    <x v="4"/>
    <x v="9"/>
    <s v="Machine Servicing"/>
    <x v="0"/>
    <x v="9"/>
    <n v="8000"/>
    <n v="7500"/>
    <n v="-500"/>
    <x v="1"/>
  </r>
  <r>
    <d v="2025-03-16T00:00:00"/>
    <x v="2"/>
    <x v="3"/>
    <x v="3"/>
    <s v="Internet Bill"/>
    <x v="2"/>
    <x v="19"/>
    <n v="2500"/>
    <n v="3000"/>
    <n v="500"/>
    <x v="0"/>
  </r>
  <r>
    <d v="2025-03-19T00:00:00"/>
    <x v="2"/>
    <x v="2"/>
    <x v="11"/>
    <s v="Banners &amp; Flyers"/>
    <x v="4"/>
    <x v="20"/>
    <n v="6000"/>
    <n v="7000"/>
    <n v="1000"/>
    <x v="0"/>
  </r>
  <r>
    <d v="2025-03-22T00:00:00"/>
    <x v="2"/>
    <x v="1"/>
    <x v="5"/>
    <s v="Router Replacement"/>
    <x v="1"/>
    <x v="5"/>
    <n v="7000"/>
    <n v="6500"/>
    <n v="-500"/>
    <x v="1"/>
  </r>
  <r>
    <d v="2025-03-25T00:00:00"/>
    <x v="2"/>
    <x v="0"/>
    <x v="10"/>
    <s v="Campus Drive Expenses"/>
    <x v="4"/>
    <x v="21"/>
    <n v="9000"/>
    <n v="10000"/>
    <n v="1000"/>
    <x v="0"/>
  </r>
  <r>
    <d v="2025-03-27T00:00:00"/>
    <x v="2"/>
    <x v="4"/>
    <x v="4"/>
    <s v="Intercity Logistics"/>
    <x v="2"/>
    <x v="22"/>
    <n v="14000"/>
    <n v="12000"/>
    <n v="-2000"/>
    <x v="1"/>
  </r>
  <r>
    <d v="2025-03-29T00:00:00"/>
    <x v="2"/>
    <x v="3"/>
    <x v="1"/>
    <s v="Accounting Tool"/>
    <x v="2"/>
    <x v="23"/>
    <n v="9000"/>
    <n v="10000"/>
    <n v="1000"/>
    <x v="0"/>
  </r>
  <r>
    <d v="2025-03-31T00:00:00"/>
    <x v="2"/>
    <x v="2"/>
    <x v="7"/>
    <s v="Social Media Influencers"/>
    <x v="0"/>
    <x v="24"/>
    <n v="18000"/>
    <n v="20000"/>
    <n v="2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8E6551-A8CB-4A4B-ABFB-9779B4FBDA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11">
    <pivotField numFmtId="14" showAll="0"/>
    <pivotField axis="axisRow" showAll="0">
      <items count="4">
        <item x="0"/>
        <item h="1" x="1"/>
        <item h="1" x="2"/>
        <item t="default"/>
      </items>
    </pivotField>
    <pivotField showAll="0">
      <items count="6">
        <item x="3"/>
        <item x="0"/>
        <item x="1"/>
        <item x="2"/>
        <item x="4"/>
        <item t="default"/>
      </items>
    </pivotField>
    <pivotField showAll="0">
      <items count="13">
        <item x="2"/>
        <item x="7"/>
        <item x="5"/>
        <item x="9"/>
        <item x="11"/>
        <item x="10"/>
        <item x="6"/>
        <item x="1"/>
        <item x="8"/>
        <item x="0"/>
        <item x="4"/>
        <item x="3"/>
        <item t="default"/>
      </items>
    </pivotField>
    <pivotField showAll="0"/>
    <pivotField showAll="0"/>
    <pivotField showAll="0">
      <items count="26">
        <item x="19"/>
        <item x="13"/>
        <item x="21"/>
        <item x="16"/>
        <item x="5"/>
        <item x="22"/>
        <item x="7"/>
        <item x="17"/>
        <item x="9"/>
        <item x="2"/>
        <item x="11"/>
        <item x="15"/>
        <item x="4"/>
        <item x="24"/>
        <item x="6"/>
        <item x="12"/>
        <item x="10"/>
        <item x="1"/>
        <item x="8"/>
        <item x="14"/>
        <item x="20"/>
        <item x="0"/>
        <item x="23"/>
        <item x="3"/>
        <item x="18"/>
        <item t="default"/>
      </items>
    </pivotField>
    <pivotField dataField="1" showAll="0"/>
    <pivotField dataField="1" showAll="0"/>
    <pivotField showAll="0"/>
    <pivotField showAll="0"/>
  </pivotFields>
  <rowFields count="1">
    <field x="1"/>
  </rowFields>
  <rowItems count="2">
    <i>
      <x/>
    </i>
    <i t="grand">
      <x/>
    </i>
  </rowItems>
  <colFields count="1">
    <field x="-2"/>
  </colFields>
  <colItems count="2">
    <i>
      <x/>
    </i>
    <i i="1">
      <x v="1"/>
    </i>
  </colItems>
  <dataFields count="2">
    <dataField name="Sum of Expense (₹)" fld="7" baseField="0" baseItem="0"/>
    <dataField name="Sum of Budget (₹)"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7FC415-CC9C-4430-A27A-CCD02C8AC07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3" firstHeaderRow="1" firstDataRow="1" firstDataCol="1"/>
  <pivotFields count="11">
    <pivotField numFmtId="14" showAll="0"/>
    <pivotField showAll="0">
      <items count="4">
        <item x="0"/>
        <item h="1" x="1"/>
        <item h="1" x="2"/>
        <item t="default"/>
      </items>
    </pivotField>
    <pivotField showAll="0">
      <items count="6">
        <item x="3"/>
        <item x="0"/>
        <item x="1"/>
        <item x="2"/>
        <item x="4"/>
        <item t="default"/>
      </items>
    </pivotField>
    <pivotField axis="axisRow" showAll="0">
      <items count="13">
        <item x="2"/>
        <item x="7"/>
        <item x="5"/>
        <item x="9"/>
        <item x="11"/>
        <item x="10"/>
        <item x="6"/>
        <item x="1"/>
        <item x="8"/>
        <item x="0"/>
        <item x="4"/>
        <item x="3"/>
        <item t="default"/>
      </items>
    </pivotField>
    <pivotField showAll="0"/>
    <pivotField showAll="0"/>
    <pivotField showAll="0">
      <items count="26">
        <item x="19"/>
        <item x="13"/>
        <item x="21"/>
        <item x="16"/>
        <item x="5"/>
        <item x="22"/>
        <item x="7"/>
        <item x="17"/>
        <item x="9"/>
        <item x="2"/>
        <item x="11"/>
        <item x="15"/>
        <item x="4"/>
        <item x="24"/>
        <item x="6"/>
        <item x="12"/>
        <item x="10"/>
        <item x="1"/>
        <item x="8"/>
        <item x="14"/>
        <item x="20"/>
        <item x="0"/>
        <item x="23"/>
        <item x="3"/>
        <item x="18"/>
        <item t="default"/>
      </items>
    </pivotField>
    <pivotField dataField="1" showAll="0"/>
    <pivotField showAll="0"/>
    <pivotField showAll="0"/>
    <pivotField showAll="0"/>
  </pivotFields>
  <rowFields count="1">
    <field x="3"/>
  </rowFields>
  <rowItems count="10">
    <i>
      <x/>
    </i>
    <i>
      <x v="1"/>
    </i>
    <i>
      <x v="2"/>
    </i>
    <i>
      <x v="3"/>
    </i>
    <i>
      <x v="6"/>
    </i>
    <i>
      <x v="7"/>
    </i>
    <i>
      <x v="8"/>
    </i>
    <i>
      <x v="9"/>
    </i>
    <i>
      <x v="10"/>
    </i>
    <i>
      <x v="11"/>
    </i>
  </rowItems>
  <colItems count="1">
    <i/>
  </colItems>
  <dataFields count="1">
    <dataField name="Sum of Expense (₹)"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4D0964-AE1E-428B-8BF4-CDF8A07B96E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8" firstHeaderRow="0" firstDataRow="1" firstDataCol="1"/>
  <pivotFields count="11">
    <pivotField numFmtId="14" showAll="0"/>
    <pivotField showAll="0">
      <items count="4">
        <item x="0"/>
        <item h="1" x="1"/>
        <item h="1" x="2"/>
        <item t="default"/>
      </items>
    </pivotField>
    <pivotField axis="axisRow" showAll="0">
      <items count="6">
        <item x="3"/>
        <item x="0"/>
        <item x="1"/>
        <item x="2"/>
        <item x="4"/>
        <item t="default"/>
      </items>
    </pivotField>
    <pivotField showAll="0">
      <items count="13">
        <item x="2"/>
        <item x="7"/>
        <item x="5"/>
        <item x="9"/>
        <item x="11"/>
        <item x="10"/>
        <item x="6"/>
        <item x="1"/>
        <item x="8"/>
        <item x="0"/>
        <item x="4"/>
        <item x="3"/>
        <item t="default"/>
      </items>
    </pivotField>
    <pivotField showAll="0"/>
    <pivotField showAll="0"/>
    <pivotField showAll="0">
      <items count="26">
        <item x="19"/>
        <item x="13"/>
        <item x="21"/>
        <item x="16"/>
        <item x="5"/>
        <item x="22"/>
        <item x="7"/>
        <item x="17"/>
        <item x="9"/>
        <item x="2"/>
        <item x="11"/>
        <item x="15"/>
        <item x="4"/>
        <item x="24"/>
        <item x="6"/>
        <item x="12"/>
        <item x="10"/>
        <item x="1"/>
        <item x="8"/>
        <item x="14"/>
        <item x="20"/>
        <item x="0"/>
        <item x="23"/>
        <item x="3"/>
        <item x="18"/>
        <item t="default"/>
      </items>
    </pivotField>
    <pivotField dataField="1" showAll="0"/>
    <pivotField dataField="1" showAll="0"/>
    <pivotField showAll="0"/>
    <pivotField showAll="0"/>
  </pivotFields>
  <rowFields count="1">
    <field x="2"/>
  </rowFields>
  <rowItems count="5">
    <i>
      <x/>
    </i>
    <i>
      <x v="1"/>
    </i>
    <i>
      <x v="2"/>
    </i>
    <i>
      <x v="3"/>
    </i>
    <i>
      <x v="4"/>
    </i>
  </rowItems>
  <colFields count="1">
    <field x="-2"/>
  </colFields>
  <colItems count="2">
    <i>
      <x/>
    </i>
    <i i="1">
      <x v="1"/>
    </i>
  </colItems>
  <dataFields count="2">
    <dataField name="Sum of Expense (₹)" fld="7" baseField="0" baseItem="0"/>
    <dataField name="Sum of Budget (₹)"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C4199A-1AA2-4980-8AC2-272E36C8DB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1">
    <pivotField numFmtId="14" showAll="0"/>
    <pivotField showAll="0">
      <items count="4">
        <item x="0"/>
        <item h="1" x="1"/>
        <item h="1" x="2"/>
        <item t="default"/>
      </items>
    </pivotField>
    <pivotField showAll="0">
      <items count="6">
        <item x="3"/>
        <item x="0"/>
        <item x="1"/>
        <item x="2"/>
        <item x="4"/>
        <item t="default"/>
      </items>
    </pivotField>
    <pivotField showAll="0">
      <items count="13">
        <item x="2"/>
        <item x="7"/>
        <item x="5"/>
        <item x="9"/>
        <item x="11"/>
        <item x="10"/>
        <item x="6"/>
        <item x="1"/>
        <item x="8"/>
        <item x="0"/>
        <item x="4"/>
        <item x="3"/>
        <item t="default"/>
      </items>
    </pivotField>
    <pivotField showAll="0"/>
    <pivotField axis="axisRow" showAll="0">
      <items count="6">
        <item x="3"/>
        <item x="1"/>
        <item x="4"/>
        <item x="2"/>
        <item x="0"/>
        <item t="default"/>
      </items>
    </pivotField>
    <pivotField showAll="0">
      <items count="26">
        <item x="19"/>
        <item x="13"/>
        <item x="21"/>
        <item x="16"/>
        <item x="5"/>
        <item x="22"/>
        <item x="7"/>
        <item x="17"/>
        <item x="9"/>
        <item x="2"/>
        <item x="11"/>
        <item x="15"/>
        <item x="4"/>
        <item x="24"/>
        <item x="6"/>
        <item x="12"/>
        <item x="10"/>
        <item x="1"/>
        <item x="8"/>
        <item x="14"/>
        <item x="20"/>
        <item x="0"/>
        <item x="23"/>
        <item x="3"/>
        <item x="18"/>
        <item t="default"/>
      </items>
    </pivotField>
    <pivotField dataField="1" showAll="0"/>
    <pivotField showAll="0"/>
    <pivotField showAll="0"/>
    <pivotField showAll="0"/>
  </pivotFields>
  <rowFields count="1">
    <field x="5"/>
  </rowFields>
  <rowItems count="6">
    <i>
      <x/>
    </i>
    <i>
      <x v="1"/>
    </i>
    <i>
      <x v="2"/>
    </i>
    <i>
      <x v="3"/>
    </i>
    <i>
      <x v="4"/>
    </i>
    <i t="grand">
      <x/>
    </i>
  </rowItems>
  <colItems count="1">
    <i/>
  </colItems>
  <dataFields count="1">
    <dataField name="Sum of Expense (₹)" fld="7"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1718A7-1E32-49F7-8357-19D6DAD2F2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numFmtId="14" showAll="0"/>
    <pivotField showAll="0">
      <items count="4">
        <item x="0"/>
        <item h="1" x="1"/>
        <item h="1" x="2"/>
        <item t="default"/>
      </items>
    </pivotField>
    <pivotField showAll="0">
      <items count="6">
        <item x="3"/>
        <item x="0"/>
        <item x="1"/>
        <item x="2"/>
        <item x="4"/>
        <item t="default"/>
      </items>
    </pivotField>
    <pivotField showAll="0">
      <items count="13">
        <item x="2"/>
        <item x="7"/>
        <item x="5"/>
        <item x="9"/>
        <item x="11"/>
        <item x="10"/>
        <item x="6"/>
        <item x="1"/>
        <item x="8"/>
        <item x="0"/>
        <item x="4"/>
        <item x="3"/>
        <item t="default"/>
      </items>
    </pivotField>
    <pivotField showAll="0"/>
    <pivotField showAll="0"/>
    <pivotField showAll="0">
      <items count="26">
        <item x="19"/>
        <item x="13"/>
        <item x="21"/>
        <item x="16"/>
        <item x="5"/>
        <item x="22"/>
        <item x="7"/>
        <item x="17"/>
        <item x="9"/>
        <item x="2"/>
        <item x="11"/>
        <item x="15"/>
        <item x="4"/>
        <item x="24"/>
        <item x="6"/>
        <item x="12"/>
        <item x="10"/>
        <item x="1"/>
        <item x="8"/>
        <item x="14"/>
        <item x="20"/>
        <item x="0"/>
        <item x="23"/>
        <item x="3"/>
        <item x="18"/>
        <item t="default"/>
      </items>
    </pivotField>
    <pivotField dataField="1" showAll="0"/>
    <pivotField showAll="0"/>
    <pivotField showAll="0"/>
    <pivotField axis="axisRow" showAll="0">
      <items count="3">
        <item x="1"/>
        <item x="0"/>
        <item t="default"/>
      </items>
    </pivotField>
  </pivotFields>
  <rowFields count="1">
    <field x="10"/>
  </rowFields>
  <rowItems count="3">
    <i>
      <x/>
    </i>
    <i>
      <x v="1"/>
    </i>
    <i t="grand">
      <x/>
    </i>
  </rowItems>
  <colItems count="1">
    <i/>
  </colItems>
  <dataFields count="1">
    <dataField name="Sum of Expense (₹)" fld="7"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CA0D44-5DF3-4AC5-B160-62A539649B7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13" firstHeaderRow="0" firstDataRow="1" firstDataCol="1"/>
  <pivotFields count="11">
    <pivotField numFmtId="14" showAll="0"/>
    <pivotField showAll="0">
      <items count="4">
        <item x="0"/>
        <item h="1" x="1"/>
        <item h="1" x="2"/>
        <item t="default"/>
      </items>
    </pivotField>
    <pivotField showAll="0">
      <items count="6">
        <item x="3"/>
        <item x="0"/>
        <item x="1"/>
        <item x="2"/>
        <item x="4"/>
        <item t="default"/>
      </items>
    </pivotField>
    <pivotField showAll="0">
      <items count="13">
        <item x="2"/>
        <item x="7"/>
        <item x="5"/>
        <item x="9"/>
        <item x="11"/>
        <item x="10"/>
        <item x="6"/>
        <item x="1"/>
        <item x="8"/>
        <item x="0"/>
        <item x="4"/>
        <item x="3"/>
        <item t="default"/>
      </items>
    </pivotField>
    <pivotField showAll="0"/>
    <pivotField showAll="0"/>
    <pivotField axis="axisRow" showAll="0">
      <items count="26">
        <item x="19"/>
        <item x="13"/>
        <item x="21"/>
        <item x="16"/>
        <item x="5"/>
        <item x="22"/>
        <item x="7"/>
        <item x="17"/>
        <item x="9"/>
        <item x="2"/>
        <item x="11"/>
        <item x="15"/>
        <item x="4"/>
        <item x="24"/>
        <item x="6"/>
        <item x="12"/>
        <item x="10"/>
        <item x="1"/>
        <item x="8"/>
        <item x="14"/>
        <item x="20"/>
        <item x="0"/>
        <item x="23"/>
        <item x="3"/>
        <item x="18"/>
        <item t="default"/>
      </items>
    </pivotField>
    <pivotField dataField="1" showAll="0"/>
    <pivotField showAll="0"/>
    <pivotField dataField="1" showAll="0"/>
    <pivotField showAll="0"/>
  </pivotFields>
  <rowFields count="1">
    <field x="6"/>
  </rowFields>
  <rowItems count="10">
    <i>
      <x v="4"/>
    </i>
    <i>
      <x v="6"/>
    </i>
    <i>
      <x v="8"/>
    </i>
    <i>
      <x v="9"/>
    </i>
    <i>
      <x v="12"/>
    </i>
    <i>
      <x v="14"/>
    </i>
    <i>
      <x v="17"/>
    </i>
    <i>
      <x v="18"/>
    </i>
    <i>
      <x v="21"/>
    </i>
    <i>
      <x v="23"/>
    </i>
  </rowItems>
  <colFields count="1">
    <field x="-2"/>
  </colFields>
  <colItems count="2">
    <i>
      <x/>
    </i>
    <i i="1">
      <x v="1"/>
    </i>
  </colItems>
  <dataFields count="2">
    <dataField name="Sum of Expense (₹)" fld="7" baseField="0" baseItem="0"/>
    <dataField name="Sum of Variance (₹)" fld="9" baseField="0" baseItem="0"/>
  </dataFields>
  <chartFormats count="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252B2CD-46A5-482B-993C-0D861098B32E}" sourceName="Month">
  <pivotTables>
    <pivotTable tabId="4" name="PivotTable2"/>
    <pivotTable tabId="5" name="PivotTable3"/>
    <pivotTable tabId="6" name="PivotTable4"/>
    <pivotTable tabId="7" name="PivotTable5"/>
    <pivotTable tabId="8" name="PivotTable6"/>
    <pivotTable tabId="9" name="PivotTable7"/>
  </pivotTables>
  <data>
    <tabular pivotCacheId="211476417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9C0F1DC-CB82-4748-B0BD-CE1DEB9312A4}" sourceName="Department">
  <pivotTables>
    <pivotTable tabId="4" name="PivotTable2"/>
    <pivotTable tabId="5" name="PivotTable3"/>
    <pivotTable tabId="6" name="PivotTable4"/>
    <pivotTable tabId="7" name="PivotTable5"/>
    <pivotTable tabId="8" name="PivotTable6"/>
    <pivotTable tabId="9" name="PivotTable7"/>
  </pivotTables>
  <data>
    <tabular pivotCacheId="2114764174">
      <items count="5">
        <i x="3" s="1"/>
        <i x="0"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D68C2B-260B-4EB0-9537-4201E31EF59D}" sourceName="Category">
  <pivotTables>
    <pivotTable tabId="4" name="PivotTable2"/>
    <pivotTable tabId="5" name="PivotTable3"/>
    <pivotTable tabId="6" name="PivotTable4"/>
    <pivotTable tabId="7" name="PivotTable5"/>
    <pivotTable tabId="8" name="PivotTable6"/>
    <pivotTable tabId="9" name="PivotTable7"/>
  </pivotTables>
  <data>
    <tabular pivotCacheId="2114764174">
      <items count="12">
        <i x="2" s="1"/>
        <i x="7" s="1"/>
        <i x="5" s="1"/>
        <i x="9" s="1"/>
        <i x="6" s="1"/>
        <i x="1" s="1"/>
        <i x="8" s="1"/>
        <i x="0" s="1"/>
        <i x="4" s="1"/>
        <i x="3" s="1"/>
        <i x="11"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0B525C89-C9B4-4208-8BB4-3EB040CD44CC}" sourceName="Vendor">
  <pivotTables>
    <pivotTable tabId="4" name="PivotTable2"/>
    <pivotTable tabId="5" name="PivotTable3"/>
    <pivotTable tabId="6" name="PivotTable4"/>
    <pivotTable tabId="7" name="PivotTable5"/>
    <pivotTable tabId="8" name="PivotTable6"/>
    <pivotTable tabId="9" name="PivotTable7"/>
  </pivotTables>
  <data>
    <tabular pivotCacheId="2114764174">
      <items count="25">
        <i x="5" s="1"/>
        <i x="7" s="1"/>
        <i x="9" s="1"/>
        <i x="2" s="1"/>
        <i x="4" s="1"/>
        <i x="6" s="1"/>
        <i x="1" s="1"/>
        <i x="8" s="1"/>
        <i x="0" s="1"/>
        <i x="3" s="1"/>
        <i x="19" s="1" nd="1"/>
        <i x="13" s="1" nd="1"/>
        <i x="21" s="1" nd="1"/>
        <i x="16" s="1" nd="1"/>
        <i x="22" s="1" nd="1"/>
        <i x="17" s="1" nd="1"/>
        <i x="11" s="1" nd="1"/>
        <i x="15" s="1" nd="1"/>
        <i x="24" s="1" nd="1"/>
        <i x="12" s="1" nd="1"/>
        <i x="10" s="1" nd="1"/>
        <i x="14" s="1" nd="1"/>
        <i x="20" s="1" nd="1"/>
        <i x="23" s="1" nd="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39FE726-8053-4B4B-A3DB-0183201320B0}" cache="Slicer_Month" caption="Month" rowHeight="234950"/>
  <slicer name="Department" xr10:uid="{D5A9F9E7-D115-4EAB-9876-80C14D8F3016}" cache="Slicer_Department" caption="Department" rowHeight="234950"/>
  <slicer name="Category" xr10:uid="{87EA591E-63D0-42DA-B3FE-E06716F0C790}" cache="Slicer_Category" caption="Category" startItem="4" rowHeight="234950"/>
  <slicer name="Vendor" xr10:uid="{4E55277D-D917-4FA9-A108-8CE66833C4D4}" cache="Slicer_Vendor" caption="Vendo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6F0D3-1AA2-4571-BF35-D14D1F11EE41}">
  <dimension ref="A1:X31"/>
  <sheetViews>
    <sheetView showGridLines="0" tabSelected="1" workbookViewId="0">
      <selection activeCell="I39" sqref="I39"/>
    </sheetView>
  </sheetViews>
  <sheetFormatPr defaultRowHeight="14.4" x14ac:dyDescent="0.3"/>
  <sheetData>
    <row r="1" spans="1:24" s="8" customFormat="1" ht="26.4" thickBot="1" x14ac:dyDescent="0.55000000000000004">
      <c r="A1" s="11" t="s">
        <v>98</v>
      </c>
      <c r="B1" s="12"/>
      <c r="C1" s="12"/>
      <c r="D1" s="12"/>
      <c r="E1" s="12"/>
      <c r="F1" s="12"/>
      <c r="G1" s="12"/>
      <c r="H1" s="12"/>
      <c r="I1" s="12"/>
      <c r="J1" s="12"/>
      <c r="K1" s="12"/>
      <c r="L1" s="12"/>
      <c r="M1" s="12"/>
      <c r="N1" s="12"/>
      <c r="O1" s="12"/>
      <c r="P1" s="12"/>
      <c r="Q1" s="12"/>
      <c r="R1" s="12"/>
      <c r="S1" s="12"/>
      <c r="T1" s="12"/>
      <c r="U1" s="12"/>
      <c r="V1" s="12"/>
      <c r="W1" s="12"/>
      <c r="X1" s="13"/>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7"/>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7"/>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1331-D7A8-44DA-B927-5ACFF852A689}">
  <dimension ref="A3:C5"/>
  <sheetViews>
    <sheetView workbookViewId="0">
      <selection activeCell="C7" sqref="C7"/>
    </sheetView>
  </sheetViews>
  <sheetFormatPr defaultRowHeight="14.4" x14ac:dyDescent="0.3"/>
  <cols>
    <col min="1" max="1" width="12.5546875" bestFit="1" customWidth="1"/>
    <col min="2" max="2" width="17.33203125" bestFit="1" customWidth="1"/>
    <col min="3" max="3" width="16.33203125" bestFit="1" customWidth="1"/>
  </cols>
  <sheetData>
    <row r="3" spans="1:3" x14ac:dyDescent="0.3">
      <c r="A3" s="5" t="s">
        <v>95</v>
      </c>
      <c r="B3" t="s">
        <v>97</v>
      </c>
      <c r="C3" t="s">
        <v>100</v>
      </c>
    </row>
    <row r="4" spans="1:3" x14ac:dyDescent="0.3">
      <c r="A4" s="6" t="s">
        <v>11</v>
      </c>
      <c r="B4" s="14">
        <v>165500</v>
      </c>
      <c r="C4" s="14">
        <v>169500</v>
      </c>
    </row>
    <row r="5" spans="1:3" x14ac:dyDescent="0.3">
      <c r="A5" s="6" t="s">
        <v>96</v>
      </c>
      <c r="B5" s="14">
        <v>165500</v>
      </c>
      <c r="C5" s="14">
        <v>169500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9211-A352-47EB-8880-8CCAAF9AF393}">
  <dimension ref="A3:B13"/>
  <sheetViews>
    <sheetView workbookViewId="0">
      <selection activeCell="M9" sqref="M9"/>
    </sheetView>
  </sheetViews>
  <sheetFormatPr defaultRowHeight="14.4" x14ac:dyDescent="0.3"/>
  <cols>
    <col min="1" max="1" width="12.5546875" bestFit="1" customWidth="1"/>
    <col min="2" max="2" width="17.33203125" bestFit="1" customWidth="1"/>
  </cols>
  <sheetData>
    <row r="3" spans="1:2" x14ac:dyDescent="0.3">
      <c r="A3" s="5" t="s">
        <v>95</v>
      </c>
      <c r="B3" t="s">
        <v>97</v>
      </c>
    </row>
    <row r="4" spans="1:2" x14ac:dyDescent="0.3">
      <c r="A4" s="6" t="s">
        <v>25</v>
      </c>
      <c r="B4" s="14">
        <v>25000</v>
      </c>
    </row>
    <row r="5" spans="1:2" x14ac:dyDescent="0.3">
      <c r="A5" s="6" t="s">
        <v>44</v>
      </c>
      <c r="B5" s="14">
        <v>40000</v>
      </c>
    </row>
    <row r="6" spans="1:2" x14ac:dyDescent="0.3">
      <c r="A6" s="6" t="s">
        <v>38</v>
      </c>
      <c r="B6" s="14">
        <v>18000</v>
      </c>
    </row>
    <row r="7" spans="1:2" x14ac:dyDescent="0.3">
      <c r="A7" s="6" t="s">
        <v>51</v>
      </c>
      <c r="B7" s="14">
        <v>7000</v>
      </c>
    </row>
    <row r="8" spans="1:2" x14ac:dyDescent="0.3">
      <c r="A8" s="6" t="s">
        <v>41</v>
      </c>
      <c r="B8" s="14">
        <v>30000</v>
      </c>
    </row>
    <row r="9" spans="1:2" x14ac:dyDescent="0.3">
      <c r="A9" s="6" t="s">
        <v>19</v>
      </c>
      <c r="B9" s="14">
        <v>7000</v>
      </c>
    </row>
    <row r="10" spans="1:2" x14ac:dyDescent="0.3">
      <c r="A10" s="6" t="s">
        <v>47</v>
      </c>
      <c r="B10" s="14">
        <v>2500</v>
      </c>
    </row>
    <row r="11" spans="1:2" x14ac:dyDescent="0.3">
      <c r="A11" s="6" t="s">
        <v>13</v>
      </c>
      <c r="B11" s="14">
        <v>15000</v>
      </c>
    </row>
    <row r="12" spans="1:2" x14ac:dyDescent="0.3">
      <c r="A12" s="6" t="s">
        <v>35</v>
      </c>
      <c r="B12" s="14">
        <v>12000</v>
      </c>
    </row>
    <row r="13" spans="1:2" x14ac:dyDescent="0.3">
      <c r="A13" s="6" t="s">
        <v>30</v>
      </c>
      <c r="B13" s="14">
        <v>9000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D49E-BE00-459D-A1A4-62719AFB1A2C}">
  <dimension ref="A3:C8"/>
  <sheetViews>
    <sheetView workbookViewId="0">
      <selection activeCell="M10" sqref="M10"/>
    </sheetView>
  </sheetViews>
  <sheetFormatPr defaultRowHeight="14.4" x14ac:dyDescent="0.3"/>
  <cols>
    <col min="1" max="1" width="12.5546875" bestFit="1" customWidth="1"/>
    <col min="2" max="2" width="17.33203125" bestFit="1" customWidth="1"/>
    <col min="3" max="3" width="16.33203125" bestFit="1" customWidth="1"/>
  </cols>
  <sheetData>
    <row r="3" spans="1:3" x14ac:dyDescent="0.3">
      <c r="A3" s="5" t="s">
        <v>95</v>
      </c>
      <c r="B3" t="s">
        <v>97</v>
      </c>
      <c r="C3" t="s">
        <v>100</v>
      </c>
    </row>
    <row r="4" spans="1:3" x14ac:dyDescent="0.3">
      <c r="A4" s="6" t="s">
        <v>29</v>
      </c>
      <c r="B4" s="14">
        <v>11500</v>
      </c>
      <c r="C4" s="14">
        <v>12500</v>
      </c>
    </row>
    <row r="5" spans="1:3" x14ac:dyDescent="0.3">
      <c r="A5" s="6" t="s">
        <v>12</v>
      </c>
      <c r="B5" s="14">
        <v>45000</v>
      </c>
      <c r="C5" s="14">
        <v>50000</v>
      </c>
    </row>
    <row r="6" spans="1:3" x14ac:dyDescent="0.3">
      <c r="A6" s="6" t="s">
        <v>18</v>
      </c>
      <c r="B6" s="14">
        <v>25000</v>
      </c>
      <c r="C6" s="14">
        <v>26000</v>
      </c>
    </row>
    <row r="7" spans="1:3" x14ac:dyDescent="0.3">
      <c r="A7" s="6" t="s">
        <v>24</v>
      </c>
      <c r="B7" s="14">
        <v>65000</v>
      </c>
      <c r="C7" s="14">
        <v>65000</v>
      </c>
    </row>
    <row r="8" spans="1:3" x14ac:dyDescent="0.3">
      <c r="A8" s="6" t="s">
        <v>34</v>
      </c>
      <c r="B8" s="14">
        <v>19000</v>
      </c>
      <c r="C8" s="14">
        <v>16000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4ADA-D9BA-4C40-B7CE-C01C018D4206}">
  <dimension ref="A3:B9"/>
  <sheetViews>
    <sheetView workbookViewId="0">
      <selection activeCell="N22" sqref="N22"/>
    </sheetView>
  </sheetViews>
  <sheetFormatPr defaultRowHeight="14.4" x14ac:dyDescent="0.3"/>
  <cols>
    <col min="1" max="1" width="12.5546875" bestFit="1" customWidth="1"/>
    <col min="2" max="2" width="17.33203125" bestFit="1" customWidth="1"/>
  </cols>
  <sheetData>
    <row r="3" spans="1:2" x14ac:dyDescent="0.3">
      <c r="A3" s="5" t="s">
        <v>95</v>
      </c>
      <c r="B3" t="s">
        <v>97</v>
      </c>
    </row>
    <row r="4" spans="1:2" x14ac:dyDescent="0.3">
      <c r="A4" s="6" t="s">
        <v>32</v>
      </c>
      <c r="B4" s="10">
        <v>0.23564954682779457</v>
      </c>
    </row>
    <row r="5" spans="1:2" x14ac:dyDescent="0.3">
      <c r="A5" s="6" t="s">
        <v>21</v>
      </c>
      <c r="B5" s="10">
        <v>0.22356495468277945</v>
      </c>
    </row>
    <row r="6" spans="1:2" x14ac:dyDescent="0.3">
      <c r="A6" s="6" t="s">
        <v>49</v>
      </c>
      <c r="B6" s="10">
        <v>1.5105740181268883E-2</v>
      </c>
    </row>
    <row r="7" spans="1:2" x14ac:dyDescent="0.3">
      <c r="A7" s="6" t="s">
        <v>27</v>
      </c>
      <c r="B7" s="10">
        <v>0.39274924471299094</v>
      </c>
    </row>
    <row r="8" spans="1:2" x14ac:dyDescent="0.3">
      <c r="A8" s="6" t="s">
        <v>15</v>
      </c>
      <c r="B8" s="10">
        <v>0.13293051359516617</v>
      </c>
    </row>
    <row r="9" spans="1:2" x14ac:dyDescent="0.3">
      <c r="A9" s="6" t="s">
        <v>96</v>
      </c>
      <c r="B9" s="1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9571-674E-40D6-9A41-4CD168202275}">
  <dimension ref="A3:B6"/>
  <sheetViews>
    <sheetView workbookViewId="0">
      <selection activeCell="N26" sqref="N26"/>
    </sheetView>
  </sheetViews>
  <sheetFormatPr defaultRowHeight="14.4" x14ac:dyDescent="0.3"/>
  <cols>
    <col min="1" max="1" width="12.5546875" bestFit="1" customWidth="1"/>
    <col min="2" max="2" width="17.33203125" bestFit="1" customWidth="1"/>
  </cols>
  <sheetData>
    <row r="3" spans="1:2" x14ac:dyDescent="0.3">
      <c r="A3" s="5" t="s">
        <v>95</v>
      </c>
      <c r="B3" t="s">
        <v>97</v>
      </c>
    </row>
    <row r="4" spans="1:2" x14ac:dyDescent="0.3">
      <c r="A4" s="6" t="s">
        <v>23</v>
      </c>
      <c r="B4" s="10">
        <v>0.3987915407854985</v>
      </c>
    </row>
    <row r="5" spans="1:2" x14ac:dyDescent="0.3">
      <c r="A5" s="6" t="s">
        <v>17</v>
      </c>
      <c r="B5" s="10">
        <v>0.6012084592145015</v>
      </c>
    </row>
    <row r="6" spans="1:2" x14ac:dyDescent="0.3">
      <c r="A6" s="6" t="s">
        <v>96</v>
      </c>
      <c r="B6" s="1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2D493-2D87-4B64-8D6E-D7774F4908D6}">
  <dimension ref="A3:C13"/>
  <sheetViews>
    <sheetView workbookViewId="0">
      <selection activeCell="K25" sqref="K25"/>
    </sheetView>
  </sheetViews>
  <sheetFormatPr defaultRowHeight="14.4" x14ac:dyDescent="0.3"/>
  <cols>
    <col min="1" max="1" width="12.5546875" bestFit="1" customWidth="1"/>
    <col min="2" max="2" width="17.33203125" bestFit="1" customWidth="1"/>
    <col min="3" max="4" width="17.77734375" bestFit="1" customWidth="1"/>
  </cols>
  <sheetData>
    <row r="3" spans="1:3" x14ac:dyDescent="0.3">
      <c r="A3" s="5" t="s">
        <v>95</v>
      </c>
      <c r="B3" t="s">
        <v>97</v>
      </c>
      <c r="C3" t="s">
        <v>101</v>
      </c>
    </row>
    <row r="4" spans="1:3" x14ac:dyDescent="0.3">
      <c r="A4" s="6" t="s">
        <v>40</v>
      </c>
      <c r="B4" s="14">
        <v>18000</v>
      </c>
      <c r="C4" s="14">
        <v>2000</v>
      </c>
    </row>
    <row r="5" spans="1:3" x14ac:dyDescent="0.3">
      <c r="A5" s="6" t="s">
        <v>46</v>
      </c>
      <c r="B5" s="14">
        <v>40000</v>
      </c>
      <c r="C5" s="14">
        <v>-5000</v>
      </c>
    </row>
    <row r="6" spans="1:3" x14ac:dyDescent="0.3">
      <c r="A6" s="6" t="s">
        <v>53</v>
      </c>
      <c r="B6" s="14">
        <v>7000</v>
      </c>
      <c r="C6" s="14">
        <v>-1000</v>
      </c>
    </row>
    <row r="7" spans="1:3" x14ac:dyDescent="0.3">
      <c r="A7" s="6" t="s">
        <v>28</v>
      </c>
      <c r="B7" s="14">
        <v>25000</v>
      </c>
      <c r="C7" s="14">
        <v>5000</v>
      </c>
    </row>
    <row r="8" spans="1:3" x14ac:dyDescent="0.3">
      <c r="A8" s="6" t="s">
        <v>37</v>
      </c>
      <c r="B8" s="14">
        <v>12000</v>
      </c>
      <c r="C8" s="14">
        <v>-2000</v>
      </c>
    </row>
    <row r="9" spans="1:3" x14ac:dyDescent="0.3">
      <c r="A9" s="6" t="s">
        <v>43</v>
      </c>
      <c r="B9" s="14">
        <v>30000</v>
      </c>
      <c r="C9" s="14">
        <v>0</v>
      </c>
    </row>
    <row r="10" spans="1:3" x14ac:dyDescent="0.3">
      <c r="A10" s="6" t="s">
        <v>22</v>
      </c>
      <c r="B10" s="14">
        <v>7000</v>
      </c>
      <c r="C10" s="14">
        <v>-1000</v>
      </c>
    </row>
    <row r="11" spans="1:3" x14ac:dyDescent="0.3">
      <c r="A11" s="6" t="s">
        <v>50</v>
      </c>
      <c r="B11" s="14">
        <v>2500</v>
      </c>
      <c r="C11" s="14">
        <v>500</v>
      </c>
    </row>
    <row r="12" spans="1:3" x14ac:dyDescent="0.3">
      <c r="A12" s="6" t="s">
        <v>16</v>
      </c>
      <c r="B12" s="14">
        <v>15000</v>
      </c>
      <c r="C12" s="14">
        <v>5000</v>
      </c>
    </row>
    <row r="13" spans="1:3" x14ac:dyDescent="0.3">
      <c r="A13" s="6" t="s">
        <v>33</v>
      </c>
      <c r="B13" s="14">
        <v>9000</v>
      </c>
      <c r="C13" s="14">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12047-C7B2-4EBF-9D98-402E02F01D05}">
  <dimension ref="A1:M33"/>
  <sheetViews>
    <sheetView workbookViewId="0">
      <selection activeCell="B2" sqref="B2"/>
    </sheetView>
  </sheetViews>
  <sheetFormatPr defaultRowHeight="14.4" x14ac:dyDescent="0.3"/>
  <cols>
    <col min="1" max="1" width="10.33203125" bestFit="1" customWidth="1"/>
    <col min="2" max="2" width="8.109375" bestFit="1" customWidth="1"/>
    <col min="3" max="3" width="11.109375" customWidth="1"/>
    <col min="4" max="4" width="11.6640625" bestFit="1" customWidth="1"/>
    <col min="5" max="5" width="21" bestFit="1" customWidth="1"/>
    <col min="6" max="6" width="15.88671875" bestFit="1" customWidth="1"/>
    <col min="7" max="7" width="12.109375" bestFit="1" customWidth="1"/>
    <col min="8" max="8" width="10.6640625" bestFit="1" customWidth="1"/>
    <col min="9" max="9" width="9.77734375" bestFit="1" customWidth="1"/>
    <col min="10" max="10" width="11.109375" bestFit="1" customWidth="1"/>
    <col min="11" max="11" width="12.44140625" bestFit="1" customWidth="1"/>
    <col min="13" max="13" width="64.77734375" bestFit="1" customWidth="1"/>
  </cols>
  <sheetData>
    <row r="1" spans="1:13" x14ac:dyDescent="0.3">
      <c r="A1" s="1" t="s">
        <v>0</v>
      </c>
      <c r="B1" s="1" t="s">
        <v>1</v>
      </c>
      <c r="C1" s="1" t="s">
        <v>2</v>
      </c>
      <c r="D1" s="1" t="s">
        <v>3</v>
      </c>
      <c r="E1" s="1" t="s">
        <v>4</v>
      </c>
      <c r="F1" s="1" t="s">
        <v>5</v>
      </c>
      <c r="G1" s="1" t="s">
        <v>6</v>
      </c>
      <c r="H1" s="1" t="s">
        <v>7</v>
      </c>
      <c r="I1" s="1" t="s">
        <v>8</v>
      </c>
      <c r="J1" s="1" t="s">
        <v>9</v>
      </c>
      <c r="K1" s="1" t="s">
        <v>10</v>
      </c>
    </row>
    <row r="2" spans="1:13" x14ac:dyDescent="0.3">
      <c r="A2" s="3">
        <v>45659</v>
      </c>
      <c r="B2" s="2" t="s">
        <v>11</v>
      </c>
      <c r="C2" s="2" t="s">
        <v>12</v>
      </c>
      <c r="D2" s="2" t="s">
        <v>13</v>
      </c>
      <c r="E2" s="2" t="s">
        <v>14</v>
      </c>
      <c r="F2" s="2" t="s">
        <v>15</v>
      </c>
      <c r="G2" s="2" t="s">
        <v>16</v>
      </c>
      <c r="H2" s="2">
        <v>15000</v>
      </c>
      <c r="I2" s="2">
        <v>20000</v>
      </c>
      <c r="J2" s="2">
        <v>5000</v>
      </c>
      <c r="K2" s="2" t="s">
        <v>17</v>
      </c>
      <c r="M2" s="2"/>
    </row>
    <row r="3" spans="1:13" x14ac:dyDescent="0.3">
      <c r="A3" s="3">
        <v>45662</v>
      </c>
      <c r="B3" s="2" t="s">
        <v>11</v>
      </c>
      <c r="C3" s="2" t="s">
        <v>18</v>
      </c>
      <c r="D3" s="2" t="s">
        <v>19</v>
      </c>
      <c r="E3" s="2" t="s">
        <v>20</v>
      </c>
      <c r="F3" s="2" t="s">
        <v>21</v>
      </c>
      <c r="G3" s="2" t="s">
        <v>22</v>
      </c>
      <c r="H3" s="2">
        <v>7000</v>
      </c>
      <c r="I3" s="2">
        <v>6000</v>
      </c>
      <c r="J3" s="2">
        <v>-1000</v>
      </c>
      <c r="K3" s="2" t="s">
        <v>23</v>
      </c>
      <c r="M3" s="2"/>
    </row>
    <row r="4" spans="1:13" x14ac:dyDescent="0.3">
      <c r="A4" s="3">
        <v>45664</v>
      </c>
      <c r="B4" s="2" t="s">
        <v>11</v>
      </c>
      <c r="C4" s="2" t="s">
        <v>24</v>
      </c>
      <c r="D4" s="2" t="s">
        <v>25</v>
      </c>
      <c r="E4" s="2" t="s">
        <v>26</v>
      </c>
      <c r="F4" s="2" t="s">
        <v>27</v>
      </c>
      <c r="G4" s="2" t="s">
        <v>28</v>
      </c>
      <c r="H4" s="2">
        <v>25000</v>
      </c>
      <c r="I4" s="2">
        <v>30000</v>
      </c>
      <c r="J4" s="2">
        <v>5000</v>
      </c>
      <c r="K4" s="2" t="s">
        <v>17</v>
      </c>
      <c r="M4" s="2"/>
    </row>
    <row r="5" spans="1:13" x14ac:dyDescent="0.3">
      <c r="A5" s="3">
        <v>45667</v>
      </c>
      <c r="B5" s="2" t="s">
        <v>11</v>
      </c>
      <c r="C5" s="2" t="s">
        <v>29</v>
      </c>
      <c r="D5" s="2" t="s">
        <v>30</v>
      </c>
      <c r="E5" s="2" t="s">
        <v>31</v>
      </c>
      <c r="F5" s="2" t="s">
        <v>32</v>
      </c>
      <c r="G5" s="2" t="s">
        <v>33</v>
      </c>
      <c r="H5" s="2">
        <v>9000</v>
      </c>
      <c r="I5" s="2">
        <v>9500</v>
      </c>
      <c r="J5" s="2">
        <v>500</v>
      </c>
      <c r="K5" s="2" t="s">
        <v>17</v>
      </c>
      <c r="M5" s="2"/>
    </row>
    <row r="6" spans="1:13" x14ac:dyDescent="0.3">
      <c r="A6" s="3">
        <v>45671</v>
      </c>
      <c r="B6" s="2" t="s">
        <v>11</v>
      </c>
      <c r="C6" s="2" t="s">
        <v>34</v>
      </c>
      <c r="D6" s="2" t="s">
        <v>35</v>
      </c>
      <c r="E6" s="2" t="s">
        <v>36</v>
      </c>
      <c r="F6" s="2" t="s">
        <v>21</v>
      </c>
      <c r="G6" s="2" t="s">
        <v>37</v>
      </c>
      <c r="H6" s="2">
        <v>12000</v>
      </c>
      <c r="I6" s="2">
        <v>10000</v>
      </c>
      <c r="J6" s="2">
        <v>-2000</v>
      </c>
      <c r="K6" s="2" t="s">
        <v>23</v>
      </c>
      <c r="M6" s="4" t="s">
        <v>93</v>
      </c>
    </row>
    <row r="7" spans="1:13" x14ac:dyDescent="0.3">
      <c r="A7" s="3">
        <v>45675</v>
      </c>
      <c r="B7" s="2" t="s">
        <v>11</v>
      </c>
      <c r="C7" s="2" t="s">
        <v>18</v>
      </c>
      <c r="D7" s="2" t="s">
        <v>38</v>
      </c>
      <c r="E7" s="2" t="s">
        <v>39</v>
      </c>
      <c r="F7" s="2" t="s">
        <v>21</v>
      </c>
      <c r="G7" s="2" t="s">
        <v>40</v>
      </c>
      <c r="H7" s="2">
        <v>18000</v>
      </c>
      <c r="I7" s="2">
        <v>20000</v>
      </c>
      <c r="J7" s="2">
        <v>2000</v>
      </c>
      <c r="K7" s="2" t="s">
        <v>17</v>
      </c>
      <c r="M7" s="4" t="s">
        <v>94</v>
      </c>
    </row>
    <row r="8" spans="1:13" x14ac:dyDescent="0.3">
      <c r="A8" s="3">
        <v>45679</v>
      </c>
      <c r="B8" s="2" t="s">
        <v>11</v>
      </c>
      <c r="C8" s="2" t="s">
        <v>12</v>
      </c>
      <c r="D8" s="2" t="s">
        <v>41</v>
      </c>
      <c r="E8" s="2" t="s">
        <v>42</v>
      </c>
      <c r="F8" s="2" t="s">
        <v>32</v>
      </c>
      <c r="G8" s="2" t="s">
        <v>43</v>
      </c>
      <c r="H8" s="2">
        <v>30000</v>
      </c>
      <c r="I8" s="2">
        <v>30000</v>
      </c>
      <c r="J8" s="2">
        <v>0</v>
      </c>
      <c r="K8" s="2" t="s">
        <v>17</v>
      </c>
    </row>
    <row r="9" spans="1:13" x14ac:dyDescent="0.3">
      <c r="A9" s="3">
        <v>45682</v>
      </c>
      <c r="B9" s="2" t="s">
        <v>11</v>
      </c>
      <c r="C9" s="2" t="s">
        <v>24</v>
      </c>
      <c r="D9" s="2" t="s">
        <v>44</v>
      </c>
      <c r="E9" s="2" t="s">
        <v>45</v>
      </c>
      <c r="F9" s="2" t="s">
        <v>27</v>
      </c>
      <c r="G9" s="2" t="s">
        <v>46</v>
      </c>
      <c r="H9" s="2">
        <v>40000</v>
      </c>
      <c r="I9" s="2">
        <v>35000</v>
      </c>
      <c r="J9" s="2">
        <v>-5000</v>
      </c>
      <c r="K9" s="2" t="s">
        <v>23</v>
      </c>
    </row>
    <row r="10" spans="1:13" x14ac:dyDescent="0.3">
      <c r="A10" s="3">
        <v>45685</v>
      </c>
      <c r="B10" s="2" t="s">
        <v>11</v>
      </c>
      <c r="C10" s="2" t="s">
        <v>29</v>
      </c>
      <c r="D10" s="2" t="s">
        <v>47</v>
      </c>
      <c r="E10" s="2" t="s">
        <v>48</v>
      </c>
      <c r="F10" s="2" t="s">
        <v>49</v>
      </c>
      <c r="G10" s="2" t="s">
        <v>50</v>
      </c>
      <c r="H10" s="2">
        <v>2500</v>
      </c>
      <c r="I10" s="2">
        <v>3000</v>
      </c>
      <c r="J10" s="2">
        <v>500</v>
      </c>
      <c r="K10" s="2" t="s">
        <v>17</v>
      </c>
    </row>
    <row r="11" spans="1:13" x14ac:dyDescent="0.3">
      <c r="A11" s="3">
        <v>45688</v>
      </c>
      <c r="B11" s="2" t="s">
        <v>11</v>
      </c>
      <c r="C11" s="2" t="s">
        <v>34</v>
      </c>
      <c r="D11" s="2" t="s">
        <v>51</v>
      </c>
      <c r="E11" s="2" t="s">
        <v>52</v>
      </c>
      <c r="F11" s="2" t="s">
        <v>15</v>
      </c>
      <c r="G11" s="2" t="s">
        <v>53</v>
      </c>
      <c r="H11" s="2">
        <v>7000</v>
      </c>
      <c r="I11" s="2">
        <v>6000</v>
      </c>
      <c r="J11" s="2">
        <v>-1000</v>
      </c>
      <c r="K11" s="2" t="s">
        <v>23</v>
      </c>
    </row>
    <row r="12" spans="1:13" x14ac:dyDescent="0.3">
      <c r="A12" s="3">
        <v>45691</v>
      </c>
      <c r="B12" s="2" t="s">
        <v>54</v>
      </c>
      <c r="C12" s="2" t="s">
        <v>12</v>
      </c>
      <c r="D12" s="2" t="s">
        <v>55</v>
      </c>
      <c r="E12" s="2" t="s">
        <v>56</v>
      </c>
      <c r="F12" s="2" t="s">
        <v>27</v>
      </c>
      <c r="G12" s="2" t="s">
        <v>57</v>
      </c>
      <c r="H12" s="2">
        <v>8000</v>
      </c>
      <c r="I12" s="2">
        <v>10000</v>
      </c>
      <c r="J12" s="2">
        <v>2000</v>
      </c>
      <c r="K12" s="2" t="s">
        <v>17</v>
      </c>
    </row>
    <row r="13" spans="1:13" x14ac:dyDescent="0.3">
      <c r="A13" s="3">
        <v>45694</v>
      </c>
      <c r="B13" s="2" t="s">
        <v>54</v>
      </c>
      <c r="C13" s="2" t="s">
        <v>18</v>
      </c>
      <c r="D13" s="2" t="s">
        <v>19</v>
      </c>
      <c r="E13" s="2" t="s">
        <v>58</v>
      </c>
      <c r="F13" s="2" t="s">
        <v>27</v>
      </c>
      <c r="G13" s="2" t="s">
        <v>59</v>
      </c>
      <c r="H13" s="2">
        <v>12000</v>
      </c>
      <c r="I13" s="2">
        <v>12000</v>
      </c>
      <c r="J13" s="2">
        <v>0</v>
      </c>
      <c r="K13" s="2" t="s">
        <v>17</v>
      </c>
    </row>
    <row r="14" spans="1:13" x14ac:dyDescent="0.3">
      <c r="A14" s="3">
        <v>45697</v>
      </c>
      <c r="B14" s="2" t="s">
        <v>54</v>
      </c>
      <c r="C14" s="2" t="s">
        <v>24</v>
      </c>
      <c r="D14" s="2" t="s">
        <v>25</v>
      </c>
      <c r="E14" s="2" t="s">
        <v>60</v>
      </c>
      <c r="F14" s="2" t="s">
        <v>27</v>
      </c>
      <c r="G14" s="2" t="s">
        <v>61</v>
      </c>
      <c r="H14" s="2">
        <v>20000</v>
      </c>
      <c r="I14" s="2">
        <v>18000</v>
      </c>
      <c r="J14" s="2">
        <v>-2000</v>
      </c>
      <c r="K14" s="2" t="s">
        <v>23</v>
      </c>
    </row>
    <row r="15" spans="1:13" x14ac:dyDescent="0.3">
      <c r="A15" s="3">
        <v>45700</v>
      </c>
      <c r="B15" s="2" t="s">
        <v>54</v>
      </c>
      <c r="C15" s="2" t="s">
        <v>29</v>
      </c>
      <c r="D15" s="2" t="s">
        <v>30</v>
      </c>
      <c r="E15" s="2" t="s">
        <v>62</v>
      </c>
      <c r="F15" s="2" t="s">
        <v>32</v>
      </c>
      <c r="G15" s="2" t="s">
        <v>63</v>
      </c>
      <c r="H15" s="2">
        <v>3500</v>
      </c>
      <c r="I15" s="2">
        <v>4000</v>
      </c>
      <c r="J15" s="2">
        <v>500</v>
      </c>
      <c r="K15" s="2" t="s">
        <v>17</v>
      </c>
    </row>
    <row r="16" spans="1:13" x14ac:dyDescent="0.3">
      <c r="A16" s="3">
        <v>45704</v>
      </c>
      <c r="B16" s="2" t="s">
        <v>54</v>
      </c>
      <c r="C16" s="2" t="s">
        <v>34</v>
      </c>
      <c r="D16" s="2" t="s">
        <v>35</v>
      </c>
      <c r="E16" s="2" t="s">
        <v>64</v>
      </c>
      <c r="F16" s="2" t="s">
        <v>15</v>
      </c>
      <c r="G16" s="2" t="s">
        <v>65</v>
      </c>
      <c r="H16" s="2">
        <v>9000</v>
      </c>
      <c r="I16" s="2">
        <v>8500</v>
      </c>
      <c r="J16" s="2">
        <v>-500</v>
      </c>
      <c r="K16" s="2" t="s">
        <v>23</v>
      </c>
    </row>
    <row r="17" spans="1:11" x14ac:dyDescent="0.3">
      <c r="A17" s="3">
        <v>45707</v>
      </c>
      <c r="B17" s="2" t="s">
        <v>54</v>
      </c>
      <c r="C17" s="2" t="s">
        <v>18</v>
      </c>
      <c r="D17" s="2" t="s">
        <v>38</v>
      </c>
      <c r="E17" s="2" t="s">
        <v>66</v>
      </c>
      <c r="F17" s="2" t="s">
        <v>21</v>
      </c>
      <c r="G17" s="2" t="s">
        <v>67</v>
      </c>
      <c r="H17" s="2">
        <v>55000</v>
      </c>
      <c r="I17" s="2">
        <v>50000</v>
      </c>
      <c r="J17" s="2">
        <v>-5000</v>
      </c>
      <c r="K17" s="2" t="s">
        <v>23</v>
      </c>
    </row>
    <row r="18" spans="1:11" x14ac:dyDescent="0.3">
      <c r="A18" s="3">
        <v>45711</v>
      </c>
      <c r="B18" s="2" t="s">
        <v>54</v>
      </c>
      <c r="C18" s="2" t="s">
        <v>12</v>
      </c>
      <c r="D18" s="2" t="s">
        <v>13</v>
      </c>
      <c r="E18" s="2" t="s">
        <v>68</v>
      </c>
      <c r="F18" s="2" t="s">
        <v>15</v>
      </c>
      <c r="G18" s="2" t="s">
        <v>69</v>
      </c>
      <c r="H18" s="2">
        <v>10000</v>
      </c>
      <c r="I18" s="2">
        <v>15000</v>
      </c>
      <c r="J18" s="2">
        <v>5000</v>
      </c>
      <c r="K18" s="2" t="s">
        <v>17</v>
      </c>
    </row>
    <row r="19" spans="1:11" x14ac:dyDescent="0.3">
      <c r="A19" s="3">
        <v>45715</v>
      </c>
      <c r="B19" s="2" t="s">
        <v>54</v>
      </c>
      <c r="C19" s="2" t="s">
        <v>24</v>
      </c>
      <c r="D19" s="2" t="s">
        <v>44</v>
      </c>
      <c r="E19" s="2" t="s">
        <v>70</v>
      </c>
      <c r="F19" s="2" t="s">
        <v>27</v>
      </c>
      <c r="G19" s="2" t="s">
        <v>71</v>
      </c>
      <c r="H19" s="2">
        <v>30000</v>
      </c>
      <c r="I19" s="2">
        <v>28000</v>
      </c>
      <c r="J19" s="2">
        <v>-2000</v>
      </c>
      <c r="K19" s="2" t="s">
        <v>23</v>
      </c>
    </row>
    <row r="20" spans="1:11" x14ac:dyDescent="0.3">
      <c r="A20" s="3">
        <v>45717</v>
      </c>
      <c r="B20" s="2" t="s">
        <v>72</v>
      </c>
      <c r="C20" s="2" t="s">
        <v>29</v>
      </c>
      <c r="D20" s="2" t="s">
        <v>47</v>
      </c>
      <c r="E20" s="2" t="s">
        <v>73</v>
      </c>
      <c r="F20" s="2" t="s">
        <v>49</v>
      </c>
      <c r="G20" s="2" t="s">
        <v>50</v>
      </c>
      <c r="H20" s="2">
        <v>1800</v>
      </c>
      <c r="I20" s="2">
        <v>2000</v>
      </c>
      <c r="J20" s="2">
        <v>200</v>
      </c>
      <c r="K20" s="2" t="s">
        <v>17</v>
      </c>
    </row>
    <row r="21" spans="1:11" x14ac:dyDescent="0.3">
      <c r="A21" s="3">
        <v>45720</v>
      </c>
      <c r="B21" s="2" t="s">
        <v>72</v>
      </c>
      <c r="C21" s="2" t="s">
        <v>18</v>
      </c>
      <c r="D21" s="2" t="s">
        <v>19</v>
      </c>
      <c r="E21" s="2" t="s">
        <v>74</v>
      </c>
      <c r="F21" s="2" t="s">
        <v>27</v>
      </c>
      <c r="G21" s="2" t="s">
        <v>75</v>
      </c>
      <c r="H21" s="2">
        <v>10000</v>
      </c>
      <c r="I21" s="2">
        <v>12000</v>
      </c>
      <c r="J21" s="2">
        <v>2000</v>
      </c>
      <c r="K21" s="2" t="s">
        <v>17</v>
      </c>
    </row>
    <row r="22" spans="1:11" x14ac:dyDescent="0.3">
      <c r="A22" s="3">
        <v>45723</v>
      </c>
      <c r="B22" s="2" t="s">
        <v>72</v>
      </c>
      <c r="C22" s="2" t="s">
        <v>24</v>
      </c>
      <c r="D22" s="2" t="s">
        <v>25</v>
      </c>
      <c r="E22" s="2" t="s">
        <v>76</v>
      </c>
      <c r="F22" s="2" t="s">
        <v>27</v>
      </c>
      <c r="G22" s="2" t="s">
        <v>28</v>
      </c>
      <c r="H22" s="2">
        <v>15000</v>
      </c>
      <c r="I22" s="2">
        <v>18000</v>
      </c>
      <c r="J22" s="2">
        <v>3000</v>
      </c>
      <c r="K22" s="2" t="s">
        <v>17</v>
      </c>
    </row>
    <row r="23" spans="1:11" x14ac:dyDescent="0.3">
      <c r="A23" s="3">
        <v>45726</v>
      </c>
      <c r="B23" s="2" t="s">
        <v>72</v>
      </c>
      <c r="C23" s="2" t="s">
        <v>12</v>
      </c>
      <c r="D23" s="2" t="s">
        <v>41</v>
      </c>
      <c r="E23" s="2" t="s">
        <v>77</v>
      </c>
      <c r="F23" s="2" t="s">
        <v>32</v>
      </c>
      <c r="G23" s="2" t="s">
        <v>43</v>
      </c>
      <c r="H23" s="2">
        <v>12000</v>
      </c>
      <c r="I23" s="2">
        <v>15000</v>
      </c>
      <c r="J23" s="2">
        <v>3000</v>
      </c>
      <c r="K23" s="2" t="s">
        <v>17</v>
      </c>
    </row>
    <row r="24" spans="1:11" x14ac:dyDescent="0.3">
      <c r="A24" s="3">
        <v>45729</v>
      </c>
      <c r="B24" s="2" t="s">
        <v>72</v>
      </c>
      <c r="C24" s="2" t="s">
        <v>34</v>
      </c>
      <c r="D24" s="2" t="s">
        <v>51</v>
      </c>
      <c r="E24" s="2" t="s">
        <v>78</v>
      </c>
      <c r="F24" s="2" t="s">
        <v>15</v>
      </c>
      <c r="G24" s="2" t="s">
        <v>53</v>
      </c>
      <c r="H24" s="2">
        <v>8000</v>
      </c>
      <c r="I24" s="2">
        <v>7500</v>
      </c>
      <c r="J24" s="2">
        <v>-500</v>
      </c>
      <c r="K24" s="2" t="s">
        <v>23</v>
      </c>
    </row>
    <row r="25" spans="1:11" x14ac:dyDescent="0.3">
      <c r="A25" s="3">
        <v>45732</v>
      </c>
      <c r="B25" s="2" t="s">
        <v>72</v>
      </c>
      <c r="C25" s="2" t="s">
        <v>29</v>
      </c>
      <c r="D25" s="2" t="s">
        <v>30</v>
      </c>
      <c r="E25" s="2" t="s">
        <v>79</v>
      </c>
      <c r="F25" s="2" t="s">
        <v>27</v>
      </c>
      <c r="G25" s="2" t="s">
        <v>80</v>
      </c>
      <c r="H25" s="2">
        <v>2500</v>
      </c>
      <c r="I25" s="2">
        <v>3000</v>
      </c>
      <c r="J25" s="2">
        <v>500</v>
      </c>
      <c r="K25" s="2" t="s">
        <v>17</v>
      </c>
    </row>
    <row r="26" spans="1:11" x14ac:dyDescent="0.3">
      <c r="A26" s="3">
        <v>45735</v>
      </c>
      <c r="B26" s="2" t="s">
        <v>72</v>
      </c>
      <c r="C26" s="2" t="s">
        <v>24</v>
      </c>
      <c r="D26" s="2" t="s">
        <v>81</v>
      </c>
      <c r="E26" s="2" t="s">
        <v>82</v>
      </c>
      <c r="F26" s="2" t="s">
        <v>49</v>
      </c>
      <c r="G26" s="2" t="s">
        <v>83</v>
      </c>
      <c r="H26" s="2">
        <v>6000</v>
      </c>
      <c r="I26" s="2">
        <v>7000</v>
      </c>
      <c r="J26" s="2">
        <v>1000</v>
      </c>
      <c r="K26" s="2" t="s">
        <v>17</v>
      </c>
    </row>
    <row r="27" spans="1:11" x14ac:dyDescent="0.3">
      <c r="A27" s="3">
        <v>45738</v>
      </c>
      <c r="B27" s="2" t="s">
        <v>72</v>
      </c>
      <c r="C27" s="2" t="s">
        <v>18</v>
      </c>
      <c r="D27" s="2" t="s">
        <v>38</v>
      </c>
      <c r="E27" s="2" t="s">
        <v>84</v>
      </c>
      <c r="F27" s="2" t="s">
        <v>21</v>
      </c>
      <c r="G27" s="2" t="s">
        <v>40</v>
      </c>
      <c r="H27" s="2">
        <v>7000</v>
      </c>
      <c r="I27" s="2">
        <v>6500</v>
      </c>
      <c r="J27" s="2">
        <v>-500</v>
      </c>
      <c r="K27" s="2" t="s">
        <v>23</v>
      </c>
    </row>
    <row r="28" spans="1:11" x14ac:dyDescent="0.3">
      <c r="A28" s="3">
        <v>45741</v>
      </c>
      <c r="B28" s="2" t="s">
        <v>72</v>
      </c>
      <c r="C28" s="2" t="s">
        <v>12</v>
      </c>
      <c r="D28" s="2" t="s">
        <v>55</v>
      </c>
      <c r="E28" s="2" t="s">
        <v>85</v>
      </c>
      <c r="F28" s="2" t="s">
        <v>49</v>
      </c>
      <c r="G28" s="2" t="s">
        <v>86</v>
      </c>
      <c r="H28" s="2">
        <v>9000</v>
      </c>
      <c r="I28" s="2">
        <v>10000</v>
      </c>
      <c r="J28" s="2">
        <v>1000</v>
      </c>
      <c r="K28" s="2" t="s">
        <v>17</v>
      </c>
    </row>
    <row r="29" spans="1:11" x14ac:dyDescent="0.3">
      <c r="A29" s="3">
        <v>45743</v>
      </c>
      <c r="B29" s="2" t="s">
        <v>72</v>
      </c>
      <c r="C29" s="2" t="s">
        <v>34</v>
      </c>
      <c r="D29" s="2" t="s">
        <v>35</v>
      </c>
      <c r="E29" s="2" t="s">
        <v>87</v>
      </c>
      <c r="F29" s="2" t="s">
        <v>27</v>
      </c>
      <c r="G29" s="2" t="s">
        <v>88</v>
      </c>
      <c r="H29" s="2">
        <v>14000</v>
      </c>
      <c r="I29" s="2">
        <v>12000</v>
      </c>
      <c r="J29" s="2">
        <v>-2000</v>
      </c>
      <c r="K29" s="2" t="s">
        <v>23</v>
      </c>
    </row>
    <row r="30" spans="1:11" x14ac:dyDescent="0.3">
      <c r="A30" s="3">
        <v>45745</v>
      </c>
      <c r="B30" s="2" t="s">
        <v>72</v>
      </c>
      <c r="C30" s="2" t="s">
        <v>29</v>
      </c>
      <c r="D30" s="2" t="s">
        <v>19</v>
      </c>
      <c r="E30" s="2" t="s">
        <v>89</v>
      </c>
      <c r="F30" s="2" t="s">
        <v>27</v>
      </c>
      <c r="G30" s="2" t="s">
        <v>90</v>
      </c>
      <c r="H30" s="2">
        <v>9000</v>
      </c>
      <c r="I30" s="2">
        <v>10000</v>
      </c>
      <c r="J30" s="2">
        <v>1000</v>
      </c>
      <c r="K30" s="2" t="s">
        <v>17</v>
      </c>
    </row>
    <row r="31" spans="1:11" x14ac:dyDescent="0.3">
      <c r="A31" s="3">
        <v>45747</v>
      </c>
      <c r="B31" s="2" t="s">
        <v>72</v>
      </c>
      <c r="C31" s="2" t="s">
        <v>24</v>
      </c>
      <c r="D31" s="2" t="s">
        <v>44</v>
      </c>
      <c r="E31" s="2" t="s">
        <v>91</v>
      </c>
      <c r="F31" s="2" t="s">
        <v>15</v>
      </c>
      <c r="G31" s="2" t="s">
        <v>92</v>
      </c>
      <c r="H31" s="2">
        <v>18000</v>
      </c>
      <c r="I31" s="2">
        <v>20000</v>
      </c>
      <c r="J31" s="2">
        <v>2000</v>
      </c>
      <c r="K31" s="2" t="s">
        <v>17</v>
      </c>
    </row>
    <row r="33" spans="1:13" s="9" customFormat="1" x14ac:dyDescent="0.3">
      <c r="A33" s="9" t="s">
        <v>99</v>
      </c>
      <c r="H33" s="9">
        <f>SUM(H2:H31)</f>
        <v>425300</v>
      </c>
      <c r="I33" s="9">
        <f>SUM(I2:I31)</f>
        <v>438000</v>
      </c>
      <c r="J33" s="9">
        <f>SUM(J2:J31)</f>
        <v>12700</v>
      </c>
      <c r="M33"/>
    </row>
  </sheetData>
  <autoFilter ref="A1:K31" xr:uid="{95112047-C7B2-4EBF-9D98-402E02F01D05}"/>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694C8376-8901-4BF5-9690-95F5F7B1F6E9}">
          <x14:colorSeries rgb="FF376092"/>
          <x14:colorNegative rgb="FFD00000"/>
          <x14:colorAxis rgb="FF000000"/>
          <x14:colorMarkers rgb="FFD00000"/>
          <x14:colorFirst rgb="FFD00000"/>
          <x14:colorLast rgb="FFD00000"/>
          <x14:colorHigh rgb="FFD00000"/>
          <x14:colorLow rgb="FFD00000"/>
          <x14:sparklines>
            <x14:sparkline>
              <xm:f>'Expense Data'!H2:H31</xm:f>
              <xm:sqref>H34</xm:sqref>
            </x14:sparkline>
          </x14:sparklines>
        </x14:sparklineGroup>
        <x14:sparklineGroup type="column" displayEmptyCellsAs="gap" xr2:uid="{1C7EC46F-1194-4D5E-A31D-3C109B286281}">
          <x14:colorSeries theme="4"/>
          <x14:colorNegative theme="5"/>
          <x14:colorAxis rgb="FF000000"/>
          <x14:colorMarkers theme="4" tint="-0.249977111117893"/>
          <x14:colorFirst theme="4" tint="-0.249977111117893"/>
          <x14:colorLast theme="4" tint="-0.249977111117893"/>
          <x14:colorHigh theme="4" tint="-0.249977111117893"/>
          <x14:colorLow theme="4" tint="-0.249977111117893"/>
          <x14:sparklines>
            <x14:sparkline>
              <xm:f>'Expense Data'!I2:I31</xm:f>
              <xm:sqref>I34</xm:sqref>
            </x14:sparkline>
          </x14:sparklines>
        </x14:sparklineGroup>
        <x14:sparklineGroup type="column" displayEmptyCellsAs="gap" xr2:uid="{73BD164B-EC89-4E74-99D4-58B1A14F349F}">
          <x14:colorSeries theme="8"/>
          <x14:colorNegative theme="9"/>
          <x14:colorAxis rgb="FF000000"/>
          <x14:colorMarkers theme="8" tint="-0.249977111117893"/>
          <x14:colorFirst theme="8" tint="-0.249977111117893"/>
          <x14:colorLast theme="8" tint="-0.249977111117893"/>
          <x14:colorHigh theme="8" tint="-0.249977111117893"/>
          <x14:colorLow theme="8" tint="-0.249977111117893"/>
          <x14:sparklines>
            <x14:sparkline>
              <xm:f>'Expense Data'!J2:J31</xm:f>
              <xm:sqref>J34</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Expense Dashboard</vt:lpstr>
      <vt:lpstr>month_Expense vs budget</vt:lpstr>
      <vt:lpstr>category vs expense</vt:lpstr>
      <vt:lpstr>Dept_exp vs bud</vt:lpstr>
      <vt:lpstr>payment method</vt:lpstr>
      <vt:lpstr>Status Ratio</vt:lpstr>
      <vt:lpstr>Vendor_Exp vs Variance</vt:lpstr>
      <vt:lpstr>Expense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Sarate</dc:creator>
  <cp:lastModifiedBy>Arya Sarate</cp:lastModifiedBy>
  <dcterms:created xsi:type="dcterms:W3CDTF">2025-11-03T07:18:46Z</dcterms:created>
  <dcterms:modified xsi:type="dcterms:W3CDTF">2025-11-08T14:10:20Z</dcterms:modified>
</cp:coreProperties>
</file>